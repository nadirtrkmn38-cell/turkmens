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kuma Kılavuzu" sheetId="1" state="visible" r:id="rId3"/>
    <sheet name="Programlar" sheetId="2" state="visible" r:id="rId4"/>
    <sheet name="Destek Unsurları" sheetId="3" state="visible" r:id="rId5"/>
    <sheet name="Uygunluk Kuralları" sheetId="4" state="visible" r:id="rId6"/>
    <sheet name="Yatırım Türü Matrisi" sheetId="5" state="visible" r:id="rId7"/>
    <sheet name="Matris Gerekçeleri" sheetId="6" state="visible" r:id="rId8"/>
    <sheet name="Bölgesel Kurallar" sheetId="7" state="visible" r:id="rId9"/>
    <sheet name="İller" sheetId="8" state="visible" r:id="rId10"/>
    <sheet name="YKH Konuları" sheetId="9" state="visible" r:id="rId11"/>
    <sheet name="Kümülasyon" sheetId="10" state="visible" r:id="rId12"/>
    <sheet name="Parasal Eşikler 2026" sheetId="11" state="visible" r:id="rId13"/>
    <sheet name="YEKDEM Fiyatları" sheetId="12" state="visible" r:id="rId14"/>
    <sheet name="Gümrük (EK-4)" sheetId="13" state="visible" r:id="rId15"/>
    <sheet name="Takvim ve Çağrılar" sheetId="14" state="visible" r:id="rId16"/>
    <sheet name="Kaynaklar" sheetId="15" state="visible" r:id="rId17"/>
    <sheet name="Teyit Listesi" sheetId="16" state="visible" r:id="rId18"/>
  </sheets>
  <definedNames>
    <definedName function="false" hidden="true" localSheetId="6" name="_xlnm._FilterDatabase" vbProcedure="false">'Bölgesel Kurallar'!$A$4:$J$10</definedName>
    <definedName function="false" hidden="true" localSheetId="2" name="_xlnm._FilterDatabase" vbProcedure="false">'Destek Unsurları'!$A$4:$J$53</definedName>
    <definedName function="false" hidden="true" localSheetId="12" name="_xlnm._FilterDatabase" vbProcedure="false">'Gümrük (EK-4)'!$A$4:$E$20</definedName>
    <definedName function="false" hidden="true" localSheetId="7" name="_xlnm._FilterDatabase" vbProcedure="false">İller!$A$4:$S$85</definedName>
    <definedName function="false" hidden="true" localSheetId="14" name="_xlnm._FilterDatabase" vbProcedure="false">Kaynaklar!$A$4:$G$36</definedName>
    <definedName function="false" hidden="true" localSheetId="9" name="_xlnm._FilterDatabase" vbProcedure="false">Kümülasyon!$A$4:$F$20</definedName>
    <definedName function="false" hidden="true" localSheetId="5" name="_xlnm._FilterDatabase" vbProcedure="false">'Matris Gerekçeleri'!$A$4:$I$84</definedName>
    <definedName function="false" hidden="true" localSheetId="1" name="_xlnm._FilterDatabase" vbProcedure="false">Programlar!$A$4:$N$22</definedName>
    <definedName function="false" hidden="true" localSheetId="13" name="_xlnm._FilterDatabase" vbProcedure="false">'Takvim ve Çağrılar'!$A$4:$G$19</definedName>
    <definedName function="false" hidden="true" localSheetId="15" name="_xlnm._FilterDatabase" vbProcedure="false">'Teyit Listesi'!$A$4:$F$16</definedName>
    <definedName function="false" hidden="true" localSheetId="3" name="_xlnm._FilterDatabase" vbProcedure="false">'Uygunluk Kuralları'!$A$4:$K$82</definedName>
    <definedName function="false" hidden="true" localSheetId="11" name="_xlnm._FilterDatabase" vbProcedure="false">'YEKDEM Fiyatları'!$A$4:$J$16</definedName>
    <definedName function="false" hidden="true" localSheetId="8" name="_xlnm._FilterDatabase" vbProcedure="false">'YKH Konuları'!$A$4:$F$328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<sst xmlns="http://schemas.openxmlformats.org/spreadsheetml/2006/main" count="5142" uniqueCount="2125">
  <si>
    <t xml:space="preserve">Enerji Yatırım Destekleri Veri Envanteri 2026</t>
  </si>
  <si>
    <t xml:space="preserve">Türkiye'de enerji yatırımları için kamu destekleri, uygunluk kuralları ve il katmanı · Son kontrol: 26.09.2026</t>
  </si>
  <si>
    <t xml:space="preserve">Bölüm</t>
  </si>
  <si>
    <t xml:space="preserve">Açıklama</t>
  </si>
  <si>
    <t xml:space="preserve">Amaç</t>
  </si>
  <si>
    <t xml:space="preserve">Belirli bir enerji yatırımı için hangi kamu desteğine, hangi şartla, hangi ilde ve ne kadar erişilebileceğini gösteren karar motoruna veri sağlamak. Her satır kaynak, madde ve etiket taşır.</t>
  </si>
  <si>
    <t xml:space="preserve">Kapsam</t>
  </si>
  <si>
    <t xml:space="preserve">9903 sayılı Karar (THP, YKH, Stratejik, Öncelikli, Hedef, bölgesel), Yeşil Dönüşüm Programı, VAP, EPS, EKA, KOSGEB, TÜBİTAK 1832, HIT-30, YEKDEM, lisanssız üretim, YEKA 2026, kalkınma ajansları.</t>
  </si>
  <si>
    <t xml:space="preserve">Destek sınıfları</t>
  </si>
  <si>
    <t xml:space="preserve">Yatırım desteği (hibe, vergi, faiz, KDV, gümrük, SGK) · Performans desteği (EKA) · Gelir/piyasa desteği (YEKDEM, lisanssız ihtiyaç fazlası) · Kapasite tahsisi (YEKA) · Ar-Ge desteği (1832). Sınıflar karıştırılmamalı; YEKDEM bir yatırım hibesi değildir.</t>
  </si>
  <si>
    <t xml:space="preserve">Yöntem</t>
  </si>
  <si>
    <t xml:space="preserve">Resmî Gazete PDF'leri (taranmış ekler dahil), Bakanlık duyuruları ve usul-esas belgeleri doğrudan okundu. Resmî Gazete'ye erişilemeyen yerlerde Lexpera konsolide metinleri kullanıldı. İkincil kaynaktan gelen her bilgi 'Teyit edilecek' etiketlidir.</t>
  </si>
  <si>
    <t xml:space="preserve">Yeniden değerleme oranı</t>
  </si>
  <si>
    <t xml:space="preserve">Parasal eşikler sayfasındaki sarı hücre (%25,49) değiştirildiğinde hesaplanan 2026 tutarları kendiliğinden güncellenir. 2027 için yeni oran girilip ilan edilen tutarlarla karşılaştırılabilir.</t>
  </si>
  <si>
    <t xml:space="preserve">Sayfalar</t>
  </si>
  <si>
    <t xml:space="preserve">Programlar · Destek Unsurları · Uygunluk Kuralları · Yatırım Türü Matrisi · Matris Gerekçeleri · İller · Bölgesel Kurallar · YKH Konuları · Kümülasyon · Parasal Eşikler 2026 · YEKDEM Fiyatları · Gümrük (EK-4) · Takvim ve Çağrılar · Kaynaklar · Teyit Listesi</t>
  </si>
  <si>
    <t xml:space="preserve">Uyarı</t>
  </si>
  <si>
    <t xml:space="preserve">Ön değerlendirme verisidir. Destek kararı ilgili kurumun incelemesiyle verilir; başvuru öncesinde güncel mevzuat ve ilanlar kontrol edilmelidir.</t>
  </si>
  <si>
    <t xml:space="preserve">Etiket</t>
  </si>
  <si>
    <t xml:space="preserve">Anlamı</t>
  </si>
  <si>
    <t xml:space="preserve">Mevzuat</t>
  </si>
  <si>
    <t xml:space="preserve">Resmî Gazete'de yayımlı metin ya da ona dayanan usul ve esaslar; madde numarası yanında.</t>
  </si>
  <si>
    <t xml:space="preserve">Duyuru</t>
  </si>
  <si>
    <t xml:space="preserve">Bakanlık/kurumun resmî duyurusu veya program sayfası.</t>
  </si>
  <si>
    <t xml:space="preserve">Hesaplanan</t>
  </si>
  <si>
    <t xml:space="preserve">Bu envanterde formülle hesaplanır (ör. yeniden değerleme).</t>
  </si>
  <si>
    <t xml:space="preserve">Teyit edilecek</t>
  </si>
  <si>
    <t xml:space="preserve">İkincil kaynaktan alındı veya birincil metinde doğrulanamadı.</t>
  </si>
  <si>
    <t xml:space="preserve">Varsayım</t>
  </si>
  <si>
    <t xml:space="preserve">Değiştirilebilir kabul.</t>
  </si>
  <si>
    <t xml:space="preserve">Yorum</t>
  </si>
  <si>
    <t xml:space="preserve">Mevzuatta açık hüküm yok; maddelerden çıkarılan değerlendirme.</t>
  </si>
  <si>
    <t xml:space="preserve">Öne çıkan bulgular</t>
  </si>
  <si>
    <t xml:space="preserve">KOSGEB KOBİ Enerji Verimliliği</t>
  </si>
  <si>
    <t xml:space="preserve">KOSGEB sitesinde 'Yürürlükten Kaldırılan Destekler' altında; güncel program listesinde yok.</t>
  </si>
  <si>
    <t xml:space="preserve">İl farkının sınırı</t>
  </si>
  <si>
    <t xml:space="preserve">9903'te vergi indirimi ve faiz oranları programa bağlı; il değişince asgari tutar, SGK süresi, Hedef faizi (4-6. bölge), İstanbul istisnası ve geçici m.3-4 değişir.</t>
  </si>
  <si>
    <t xml:space="preserve">Geçici m.3-4 (31.12.2026)</t>
  </si>
  <si>
    <t xml:space="preserve">Deprem ilçeleri ile Cazibe Merkezleri illerindeki OSB imalat yatırımları 6. bölge desteklerinden yararlanır; müracaat için son tarih 31.12.2026.</t>
  </si>
  <si>
    <t xml:space="preserve">GES'te EK-3 şartı</t>
  </si>
  <si>
    <t xml:space="preserve">240 kW altı (çatı dahil) ve modernizasyon niteliğindeki GES yatırımları 9903'te desteklenmez; öz tüketimde teşvik sözleşme gücüyle sınırlı.</t>
  </si>
  <si>
    <t xml:space="preserve">Li-ion batarya gümrüğü</t>
  </si>
  <si>
    <t xml:space="preserve">8507.60 lityum iyon aküler EK-4'te: teşvik belgesi olsa da gümrük muafiyeti yok. İnverter, trafo, PV modül ve ısı pompası listede değil.</t>
  </si>
  <si>
    <t xml:space="preserve">Çimento ve temel çelik</t>
  </si>
  <si>
    <t xml:space="preserve">EK-3 dışı veya dar; bu sektörlerde enerji verimliliği için 9903'e yol Yeşil Dönüşüm Programı.</t>
  </si>
  <si>
    <t xml:space="preserve">Ekosistem geliştirme planı</t>
  </si>
  <si>
    <t xml:space="preserve">KOBİ olmayan ve vergi indirimi alan yatırımcı, SYT'nin en az %2'si tutarında plan uygulamakla yükümlü (9903 m.5/9).</t>
  </si>
  <si>
    <t xml:space="preserve">LÜY m.37/10</t>
  </si>
  <si>
    <t xml:space="preserve">Dağıtım ve görevli tedarik şirketlerinin ortakları ve kontrolündeki şirketler, kendi dağıtım bölgelerinde lisanssız RES/GES başvurusu yapamaz; ESCO modelinde başvuru sahibi müşteri olmalı.</t>
  </si>
  <si>
    <t xml:space="preserve">Lisanssız 10 yıl sonrası</t>
  </si>
  <si>
    <t xml:space="preserve">11415 sayılı CBK: ihtiyaç fazlası, aynı tip lisanslı tesisin YEKDEM fiyatının %90'ından alınır; PTF'yi aşamaz.</t>
  </si>
  <si>
    <t xml:space="preserve">Kümülasyon</t>
  </si>
  <si>
    <t xml:space="preserve">Aynı ekipman için VAP, EPS, 9903 ve KOSGEB'den yalnız biri. VAP ile EKA tamamlayıcı.</t>
  </si>
  <si>
    <t xml:space="preserve">Programlar</t>
  </si>
  <si>
    <t xml:space="preserve">Her program bir satır. Destek sınıfı sütunu, yatırım desteğini gelir/piyasa desteğinden ayırır.</t>
  </si>
  <si>
    <t xml:space="preserve">ID</t>
  </si>
  <si>
    <t xml:space="preserve">Program</t>
  </si>
  <si>
    <t xml:space="preserve">Kurum</t>
  </si>
  <si>
    <t xml:space="preserve">Destek sınıfı</t>
  </si>
  <si>
    <t xml:space="preserve">Niteliği</t>
  </si>
  <si>
    <t xml:space="preserve">2026 durumu</t>
  </si>
  <si>
    <t xml:space="preserve">Başvuru kanalı</t>
  </si>
  <si>
    <t xml:space="preserve">Başvuru dönemi</t>
  </si>
  <si>
    <t xml:space="preserve">Hedef yatırımcı</t>
  </si>
  <si>
    <t xml:space="preserve">Dayanak</t>
  </si>
  <si>
    <t xml:space="preserve">Kaynak</t>
  </si>
  <si>
    <t xml:space="preserve">Not</t>
  </si>
  <si>
    <t xml:space="preserve">Son kontrol</t>
  </si>
  <si>
    <t xml:space="preserve">P01</t>
  </si>
  <si>
    <t xml:space="preserve">9903 · Teknoloji Hamlesi Programı (THP)</t>
  </si>
  <si>
    <t xml:space="preserve">Sanayi ve Teknoloji Bakanlığı (SAVGM)</t>
  </si>
  <si>
    <t xml:space="preserve">Yatırım desteği</t>
  </si>
  <si>
    <t xml:space="preserve">Açık</t>
  </si>
  <si>
    <t xml:space="preserve">E-TUYS + THP Değerlendirme Komitesi</t>
  </si>
  <si>
    <t xml:space="preserve">31.12.2030'a kadar</t>
  </si>
  <si>
    <t xml:space="preserve">Öncelikli ürün listesindeki yüksek teknoloji yatırımcıları</t>
  </si>
  <si>
    <t xml:space="preserve">9903 m.4/2, m.6</t>
  </si>
  <si>
    <t xml:space="preserve">K02</t>
  </si>
  <si>
    <t xml:space="preserve">Proje bazlı; komite kararı.</t>
  </si>
  <si>
    <t xml:space="preserve">26.09.2026</t>
  </si>
  <si>
    <t xml:space="preserve">P02</t>
  </si>
  <si>
    <t xml:space="preserve">9903 · Yerel Kalkınma Hamlesi Programı (YKH)</t>
  </si>
  <si>
    <t xml:space="preserve">Sanayi ve Teknoloji Bakanlığı (Kalkınma Ajansları GM)</t>
  </si>
  <si>
    <t xml:space="preserve">2026 dönemi kapandı</t>
  </si>
  <si>
    <t xml:space="preserve">Kalkınma ajansı + YKH Değerlendirme Komitesi</t>
  </si>
  <si>
    <t xml:space="preserve">2026: 02.03-15.05.2026</t>
  </si>
  <si>
    <t xml:space="preserve">İlin 4 yerel yatırım konusunda yatırım yapanlar</t>
  </si>
  <si>
    <t xml:space="preserve">9903 m.7; Yerel Yatırım Konuları Listesi Tebliği</t>
  </si>
  <si>
    <t xml:space="preserve">K02, K05, K31</t>
  </si>
  <si>
    <t xml:space="preserve">Liste her yıl ocak ayında güncellenebilir.</t>
  </si>
  <si>
    <t xml:space="preserve">P03</t>
  </si>
  <si>
    <t xml:space="preserve">9903 · Stratejik Hamle Programı</t>
  </si>
  <si>
    <t xml:space="preserve">Sanayi ve Teknoloji Bakanlığı</t>
  </si>
  <si>
    <t xml:space="preserve">E-TUYS + Stratejik Hamle Değerlendirme Komitesi</t>
  </si>
  <si>
    <t xml:space="preserve">Büyük ölçekli, ithalatı azaltan imalat; ≥ 62,7 mn TL yeşil/dijital dönüşüm</t>
  </si>
  <si>
    <t xml:space="preserve">9903 m.8</t>
  </si>
  <si>
    <t xml:space="preserve">P04</t>
  </si>
  <si>
    <t xml:space="preserve">9903 · Öncelikli Yatırımlar Teşvik Sistemi</t>
  </si>
  <si>
    <t xml:space="preserve">E-TUYS</t>
  </si>
  <si>
    <t xml:space="preserve">m.9/1'de sayılan konular (öz tüketim GES/RES, yeşil/dijital dönüşüm, 6. bölge vb.)</t>
  </si>
  <si>
    <t xml:space="preserve">9903 m.9</t>
  </si>
  <si>
    <t xml:space="preserve">P05</t>
  </si>
  <si>
    <t xml:space="preserve">9903 · Hedef Yatırımlar Teşvik Sistemi (EK-3)</t>
  </si>
  <si>
    <t xml:space="preserve">EK-3'teki konular ve şartlar</t>
  </si>
  <si>
    <t xml:space="preserve">9903 m.10, EK-3</t>
  </si>
  <si>
    <t xml:space="preserve">K01, K02</t>
  </si>
  <si>
    <t xml:space="preserve">Elektrik üretimi, dağıtım, depolama ve gaz dağıtımında yalnız KDV ve gümrük kalır.</t>
  </si>
  <si>
    <t xml:space="preserve">P06</t>
  </si>
  <si>
    <t xml:space="preserve">9903 · Bölgesel teşvikler (SGK desteği)</t>
  </si>
  <si>
    <t xml:space="preserve">Sanayi ve Teknoloji Bakanlığı / SGK</t>
  </si>
  <si>
    <t xml:space="preserve">Yatırım desteği (istihdam)</t>
  </si>
  <si>
    <t xml:space="preserve">Teşvik belgesiyle otomatik</t>
  </si>
  <si>
    <t xml:space="preserve">TYKH ve sektörel sistemde belge alan tüm yatırımlar</t>
  </si>
  <si>
    <t xml:space="preserve">9903 m.4/4, m.18, m.19, m.22</t>
  </si>
  <si>
    <t xml:space="preserve">P07</t>
  </si>
  <si>
    <t xml:space="preserve">Yeşil Dönüşüm Programı (9903 m.12) → Öncelikli / Stratejik</t>
  </si>
  <si>
    <t xml:space="preserve">Açık (çağrıya göre)</t>
  </si>
  <si>
    <t xml:space="preserve">Program portalı → E-TUYS</t>
  </si>
  <si>
    <t xml:space="preserve">Çağrı bazında</t>
  </si>
  <si>
    <t xml:space="preserve">İmalat sanayiinde sermaye şirketleri</t>
  </si>
  <si>
    <t xml:space="preserve">9903 m.9/1-a, m.8/8, m.12; YDDP Tebliği</t>
  </si>
  <si>
    <t xml:space="preserve">K02, K06</t>
  </si>
  <si>
    <t xml:space="preserve">EK-3 şartı aranmaz (m.5/1).</t>
  </si>
  <si>
    <t xml:space="preserve">P08</t>
  </si>
  <si>
    <t xml:space="preserve">Verimlilik Artırıcı Proje (VAP) Desteği</t>
  </si>
  <si>
    <t xml:space="preserve">Enerji ve Tabii Kaynaklar Bakanlığı</t>
  </si>
  <si>
    <t xml:space="preserve">Yatırım desteği (hibe)</t>
  </si>
  <si>
    <t xml:space="preserve">evdes.enerji.gov.tr</t>
  </si>
  <si>
    <t xml:space="preserve">İlan edilen dönem</t>
  </si>
  <si>
    <t xml:space="preserve">Kamu dışı tüzel kişiler</t>
  </si>
  <si>
    <t xml:space="preserve">EVY m.16/2; VAP UE</t>
  </si>
  <si>
    <t xml:space="preserve">K09, K10, K11</t>
  </si>
  <si>
    <t xml:space="preserve">2027'den itibaren etüt dışı projede oran %25.</t>
  </si>
  <si>
    <t xml:space="preserve">P09</t>
  </si>
  <si>
    <t xml:space="preserve">Enerji Performans Sözleşmesi (EPS) Desteği</t>
  </si>
  <si>
    <t xml:space="preserve">Yatırım desteği (hibe, ESCO üzerinden)</t>
  </si>
  <si>
    <t xml:space="preserve">evdes.enerji.gov.tr (başvuruyu ESCO yapar)</t>
  </si>
  <si>
    <t xml:space="preserve">Enerji yöneticisi görevlendirmekle yükümlü işletme + ESCO</t>
  </si>
  <si>
    <t xml:space="preserve">5627 m.8/1-a; EVY m.16; EPS UE</t>
  </si>
  <si>
    <t xml:space="preserve">K16, K17</t>
  </si>
  <si>
    <t xml:space="preserve">P10</t>
  </si>
  <si>
    <t xml:space="preserve">Enerji ve Karbon Azaltım (EKA) Desteği</t>
  </si>
  <si>
    <t xml:space="preserve">Performans desteği</t>
  </si>
  <si>
    <t xml:space="preserve">Performans desteği (hibe)</t>
  </si>
  <si>
    <t xml:space="preserve">Açık · 30.09.2026'da kapanıyor</t>
  </si>
  <si>
    <t xml:space="preserve">01.07-30.09.2026</t>
  </si>
  <si>
    <t xml:space="preserve">İmalat; otel, AVM, hastane, ofis binaları</t>
  </si>
  <si>
    <t xml:space="preserve">EVY m.16/3; EKA UE</t>
  </si>
  <si>
    <t xml:space="preserve">K14, K15</t>
  </si>
  <si>
    <t xml:space="preserve">Her sektörde ilk 10 izlemeye alınır.</t>
  </si>
  <si>
    <t xml:space="preserve">P11</t>
  </si>
  <si>
    <t xml:space="preserve">KOSGEB Yeşil Sanayi Destek Programı</t>
  </si>
  <si>
    <t xml:space="preserve">KOSGEB (Dünya Bankası TYSP Bileşen 1)</t>
  </si>
  <si>
    <t xml:space="preserve">Yatırım desteği (geri ödemeli)</t>
  </si>
  <si>
    <t xml:space="preserve">Çağrı durumu teyit edilecek</t>
  </si>
  <si>
    <t xml:space="preserve">KOSGEB e-Hizmetler</t>
  </si>
  <si>
    <t xml:space="preserve">Çağrı bazında (2023-01, 2023-02)</t>
  </si>
  <si>
    <t xml:space="preserve">Sanayi KOBİ'leri</t>
  </si>
  <si>
    <t xml:space="preserve">KOSGEB YSDP Yönergesi</t>
  </si>
  <si>
    <t xml:space="preserve">K26</t>
  </si>
  <si>
    <t xml:space="preserve">P12</t>
  </si>
  <si>
    <t xml:space="preserve">KOSGEB KOBİ Enerji Verimliliği Destek Programı</t>
  </si>
  <si>
    <t xml:space="preserve">KOSGEB</t>
  </si>
  <si>
    <t xml:space="preserve">Yürürlükten kaldırıldı</t>
  </si>
  <si>
    <t xml:space="preserve">—</t>
  </si>
  <si>
    <t xml:space="preserve">K27, K28</t>
  </si>
  <si>
    <t xml:space="preserve">KOSGEB sitesinde 'Yürürlükten Kaldırılan Destekler' altında; güncel listede yok.</t>
  </si>
  <si>
    <t xml:space="preserve">P13</t>
  </si>
  <si>
    <t xml:space="preserve">TÜBİTAK 1832 Sanayide Yeşil Dönüşüm (Ar-Ge)</t>
  </si>
  <si>
    <t xml:space="preserve">TÜBİTAK TEYDEB (Dünya Bankası TYSP)</t>
  </si>
  <si>
    <t xml:space="preserve">Ar-Ge desteği</t>
  </si>
  <si>
    <t xml:space="preserve">Ar-Ge desteği (hibe + faizsiz geri ödemeli)</t>
  </si>
  <si>
    <t xml:space="preserve">Açık · 12.10.2026'da kapanıyor</t>
  </si>
  <si>
    <t xml:space="preserve">PRODİS (eteydeb.tubitak.gov.tr)</t>
  </si>
  <si>
    <t xml:space="preserve">2026-2 çağrısı: kapanış 12.10.2026</t>
  </si>
  <si>
    <t xml:space="preserve">KOBİ ve büyük ölçekli kuruluşlar</t>
  </si>
  <si>
    <t xml:space="preserve">1801/1832 program esasları</t>
  </si>
  <si>
    <t xml:space="preserve">K29</t>
  </si>
  <si>
    <t xml:space="preserve">Yatırım değil Ar-Ge (THS 3-9).</t>
  </si>
  <si>
    <t xml:space="preserve">P14</t>
  </si>
  <si>
    <t xml:space="preserve">HIT-30 Yüksek Teknoloji Yatırım Programı</t>
  </si>
  <si>
    <t xml:space="preserve">Proje bazlı yatırım desteği</t>
  </si>
  <si>
    <t xml:space="preserve">Açık (HIT-Battery, HIT-Wind); HIT-Solar kapandı</t>
  </si>
  <si>
    <t xml:space="preserve">hit30@sanayi.gov.tr / çağrı</t>
  </si>
  <si>
    <t xml:space="preserve">Çağrı olmadan da başvurulabilir</t>
  </si>
  <si>
    <t xml:space="preserve">Küresel ölçekli yüksek teknoloji yatırımcıları</t>
  </si>
  <si>
    <t xml:space="preserve">Proje bazlı teşvik; HIT-30 program belgeleri</t>
  </si>
  <si>
    <t xml:space="preserve">K25</t>
  </si>
  <si>
    <t xml:space="preserve">Yeşil enerji: yeşil hidrojen, elektrolizör, rüzgâr, güneş hücresi/wafer/ingot, depolama bataryası, batarya bileşenleri, kritik mineraller.</t>
  </si>
  <si>
    <t xml:space="preserve">P15</t>
  </si>
  <si>
    <t xml:space="preserve">YEKDEM (Yenilenebilir Enerji Kaynakları Destekleme Mekanizması)</t>
  </si>
  <si>
    <t xml:space="preserve">ETKB / EPDK / EPİAŞ</t>
  </si>
  <si>
    <t xml:space="preserve">Gelir / piyasa desteği</t>
  </si>
  <si>
    <t xml:space="preserve">Açık (31.12.2030'a kadar işletmeye girenler)</t>
  </si>
  <si>
    <t xml:space="preserve">YEK Belgesi (EPDK) + YEKDEM listesi</t>
  </si>
  <si>
    <t xml:space="preserve">Yıllık kayıt</t>
  </si>
  <si>
    <t xml:space="preserve">Lisanslı YEK üreticileri</t>
  </si>
  <si>
    <t xml:space="preserve">5346 m.6, m.6/B; 7189 sayılı CBK</t>
  </si>
  <si>
    <t xml:space="preserve">K19</t>
  </si>
  <si>
    <t xml:space="preserve">Yatırım hibesi değildir; üretilen elektriğin fiyatını destekler.</t>
  </si>
  <si>
    <t xml:space="preserve">P16</t>
  </si>
  <si>
    <t xml:space="preserve">Lisanssız üretim (öz tüketim, mahsuplaşma, ihtiyaç fazlası)</t>
  </si>
  <si>
    <t xml:space="preserve">EPDK / dağıtım şirketleri</t>
  </si>
  <si>
    <t xml:space="preserve">Gelir / piyasa düzenlemesi</t>
  </si>
  <si>
    <t xml:space="preserve">İlgili dağıtım şirketi</t>
  </si>
  <si>
    <t xml:space="preserve">Sürekli</t>
  </si>
  <si>
    <t xml:space="preserve">Tüketim tesisi sahipleri</t>
  </si>
  <si>
    <t xml:space="preserve">LÜY; 11415 sayılı CBK</t>
  </si>
  <si>
    <t xml:space="preserve">K18, K20</t>
  </si>
  <si>
    <t xml:space="preserve">P17</t>
  </si>
  <si>
    <t xml:space="preserve">YEKA 2026 (GES-2026, RES-2026 yarışmaları)</t>
  </si>
  <si>
    <t xml:space="preserve">Kapasite tahsisi</t>
  </si>
  <si>
    <t xml:space="preserve">Kapasite tahsisi + alım garantisi</t>
  </si>
  <si>
    <t xml:space="preserve">Açık · başvuru 13.10.2026</t>
  </si>
  <si>
    <t xml:space="preserve">Yarışma başvurusu (ETKB)</t>
  </si>
  <si>
    <t xml:space="preserve">Başvuru: 13.10.2026</t>
  </si>
  <si>
    <t xml:space="preserve">Tüzel kişiler (yerli ve yabancı)</t>
  </si>
  <si>
    <t xml:space="preserve">YEKA Yönetmeliği; GES/RES-2026 şartnameleri</t>
  </si>
  <si>
    <t xml:space="preserve">K21, K22, K23</t>
  </si>
  <si>
    <t xml:space="preserve">21 yarışma: 14 GES (900 MWe), 7 RES (1.500 MWe).</t>
  </si>
  <si>
    <t xml:space="preserve">P18</t>
  </si>
  <si>
    <t xml:space="preserve">Kalkınma ajansı mali destek programları</t>
  </si>
  <si>
    <t xml:space="preserve">26 kalkınma ajansı</t>
  </si>
  <si>
    <t xml:space="preserve">Hibe / faizsiz kredi (programa göre)</t>
  </si>
  <si>
    <t xml:space="preserve">Ajans bazında</t>
  </si>
  <si>
    <t xml:space="preserve">Ajans başvuru sistemi</t>
  </si>
  <si>
    <t xml:space="preserve">Programa göre</t>
  </si>
  <si>
    <t xml:space="preserve">5449 sayılı Kanun</t>
  </si>
  <si>
    <t xml:space="preserve">K30</t>
  </si>
  <si>
    <t xml:space="preserve">Çağrılar ajanstan ajansa değişir; bu envanterde ayrıntılandırılmadı.</t>
  </si>
  <si>
    <t xml:space="preserve">Destek unsurları</t>
  </si>
  <si>
    <t xml:space="preserve">Program adı Programlar sayfasından formülle gelir.</t>
  </si>
  <si>
    <t xml:space="preserve">Program ID</t>
  </si>
  <si>
    <t xml:space="preserve">Destek unsuru</t>
  </si>
  <si>
    <t xml:space="preserve">Oran / ölçü</t>
  </si>
  <si>
    <t xml:space="preserve">2026 üst sınır</t>
  </si>
  <si>
    <t xml:space="preserve">Süre</t>
  </si>
  <si>
    <t xml:space="preserve">Hesap</t>
  </si>
  <si>
    <t xml:space="preserve">Gümrük vergisi muafiyeti</t>
  </si>
  <si>
    <t xml:space="preserve">Makine-teçhizat (EK-4 hariç)</t>
  </si>
  <si>
    <t xml:space="preserve">Belge süresi</t>
  </si>
  <si>
    <t xml:space="preserve">9903 m.13</t>
  </si>
  <si>
    <t xml:space="preserve">KDV istisnası</t>
  </si>
  <si>
    <t xml:space="preserve">Makine-teçhizat, yazılım</t>
  </si>
  <si>
    <t xml:space="preserve">9903 m.14</t>
  </si>
  <si>
    <t xml:space="preserve">Vergi indirimi</t>
  </si>
  <si>
    <t xml:space="preserve">Katkı %50, indirim %60</t>
  </si>
  <si>
    <t xml:space="preserve">Katkı tutarı</t>
  </si>
  <si>
    <t xml:space="preserve">Katkıya ulaşıncaya kadar</t>
  </si>
  <si>
    <t xml:space="preserve">Katkı = SYT × %50</t>
  </si>
  <si>
    <t xml:space="preserve">9903 m.20/1-a</t>
  </si>
  <si>
    <t xml:space="preserve">Faiz/kâr payı desteği</t>
  </si>
  <si>
    <t xml:space="preserve">Repo × %40, ≤ 20 puan; kredinin SYT %70'ine kadarı</t>
  </si>
  <si>
    <t xml:space="preserve">SYT %20 ve 301 mn TL</t>
  </si>
  <si>
    <t xml:space="preserve">≤ 5 yıl</t>
  </si>
  <si>
    <t xml:space="preserve">min(Kredi, %70 SYT) × puan</t>
  </si>
  <si>
    <t xml:space="preserve">9903 m.15/1-a, m.15/3-a</t>
  </si>
  <si>
    <t xml:space="preserve">Mevzuat + Teyit edilecek</t>
  </si>
  <si>
    <t xml:space="preserve">K02, K04</t>
  </si>
  <si>
    <t xml:space="preserve">Makine desteği</t>
  </si>
  <si>
    <t xml:space="preserve">Birim ≥ 2,5 mn TL makinelerin %25'i</t>
  </si>
  <si>
    <t xml:space="preserve">SYT %15 ve 301 mn TL</t>
  </si>
  <si>
    <t xml:space="preserve">Yatırım süresi</t>
  </si>
  <si>
    <t xml:space="preserve">%25 × uygun makine</t>
  </si>
  <si>
    <t xml:space="preserve">9903 m.16</t>
  </si>
  <si>
    <t xml:space="preserve">SGK işveren hissesi</t>
  </si>
  <si>
    <t xml:space="preserve">Asgari ücret kısmı; 6. bölge tamamı, diğer %50</t>
  </si>
  <si>
    <t xml:space="preserve">8 yıl (6. bölge 12)</t>
  </si>
  <si>
    <t xml:space="preserve">9903 m.18/3</t>
  </si>
  <si>
    <t xml:space="preserve">Yatırım yeri tahsisi</t>
  </si>
  <si>
    <t xml:space="preserve">9903 m.21/2</t>
  </si>
  <si>
    <t xml:space="preserve">Destek seti THP ile aynı</t>
  </si>
  <si>
    <t xml:space="preserve">Vergi %50; faiz %40 (≤ 20 puan); makine %25</t>
  </si>
  <si>
    <t xml:space="preserve">SYT %20 / %15 ve 301 mn TL</t>
  </si>
  <si>
    <t xml:space="preserve">9903 m.15/1-a, m.16, m.20/1-a</t>
  </si>
  <si>
    <t xml:space="preserve">Ekosistem geliştirme planı (yükümlülük)</t>
  </si>
  <si>
    <t xml:space="preserve">Tamamlama vizesine kadar SYT'nin ≥ %2'si</t>
  </si>
  <si>
    <t xml:space="preserve">9903 m.5/9</t>
  </si>
  <si>
    <t xml:space="preserve">Katkı %40, indirim %60</t>
  </si>
  <si>
    <t xml:space="preserve">Katkı = SYT × %40</t>
  </si>
  <si>
    <t xml:space="preserve">9903 m.20/1-b</t>
  </si>
  <si>
    <t xml:space="preserve">Repo × %30, ≤ 15 puan</t>
  </si>
  <si>
    <t xml:space="preserve">SYT %15 ve 226 mn TL</t>
  </si>
  <si>
    <t xml:space="preserve">9903 m.15/1-b, m.15/3-b</t>
  </si>
  <si>
    <t xml:space="preserve">Makine desteği (faiz ile birlikte olmaz)</t>
  </si>
  <si>
    <t xml:space="preserve">%25</t>
  </si>
  <si>
    <t xml:space="preserve">SYT %15 ve ≈ 226 mn TL</t>
  </si>
  <si>
    <t xml:space="preserve">9903 m.16/2-b, m.16/3</t>
  </si>
  <si>
    <t xml:space="preserve">Mevzuat + Hesaplanan</t>
  </si>
  <si>
    <t xml:space="preserve">6. bölge tamamı, diğer %50</t>
  </si>
  <si>
    <t xml:space="preserve">Gümrük muafiyeti + KDV istisnası</t>
  </si>
  <si>
    <t xml:space="preserve">9903 m.4/3</t>
  </si>
  <si>
    <t xml:space="preserve">Katkı %30, indirim %60</t>
  </si>
  <si>
    <t xml:space="preserve">Katkı = SYT × %30</t>
  </si>
  <si>
    <t xml:space="preserve">9903 m.20/1-c</t>
  </si>
  <si>
    <t xml:space="preserve">Repo × %25, ≤ 12,5 puan</t>
  </si>
  <si>
    <t xml:space="preserve">SYT %10 ve 30,1 mn TL</t>
  </si>
  <si>
    <t xml:space="preserve">9903 m.15/1-c, m.15/3-c</t>
  </si>
  <si>
    <t xml:space="preserve">Öz tüketim GES/RES (m.9/1-e): faiz yok</t>
  </si>
  <si>
    <t xml:space="preserve">9903 m.9/2</t>
  </si>
  <si>
    <t xml:space="preserve">Yatırım yeri tahsisi (elektrik üretimi hariç)</t>
  </si>
  <si>
    <t xml:space="preserve">9903 m.21</t>
  </si>
  <si>
    <t xml:space="preserve">Katkı %20, indirim %60; İstanbul ve enerji üretim/dağıtım/depolama/gaz dağıtımı hariç</t>
  </si>
  <si>
    <t xml:space="preserve">Katkı = SYT × %20</t>
  </si>
  <si>
    <t xml:space="preserve">9903 m.20/1-ç, m.10/2</t>
  </si>
  <si>
    <t xml:space="preserve">Faiz/kâr payı desteği (yalnız 4-6. bölge; enerji yatırımları hariç)</t>
  </si>
  <si>
    <t xml:space="preserve">SYT %10 ve ≈ 15,1 mn TL</t>
  </si>
  <si>
    <t xml:space="preserve">9903 m.10/3, m.15/1-ç, m.15/3-ç</t>
  </si>
  <si>
    <t xml:space="preserve">SGK işveren hissesi desteği</t>
  </si>
  <si>
    <t xml:space="preserve">6. bölge tamamı, diğer bölgeler %50 (asgari ücret kısmı)</t>
  </si>
  <si>
    <t xml:space="preserve">Belgedeki ilave istihdam</t>
  </si>
  <si>
    <t xml:space="preserve">Bölgeye göre (Bölgesel Kurallar)</t>
  </si>
  <si>
    <t xml:space="preserve">9903 m.18/1-2</t>
  </si>
  <si>
    <t xml:space="preserve">Sigorta primi (işçi hissesi) desteği</t>
  </si>
  <si>
    <t xml:space="preserve">6. bölgede asgari ücret kısmı</t>
  </si>
  <si>
    <t xml:space="preserve">10 yıl</t>
  </si>
  <si>
    <t xml:space="preserve">9903 m.19</t>
  </si>
  <si>
    <t xml:space="preserve">Alt bölge desteği</t>
  </si>
  <si>
    <t xml:space="preserve">OSB/endüstri bölgesi veya EK-5 ilçesi: 1 alt bölge; ikisi: 2 alt bölge; 6. bölgede +2 yıl</t>
  </si>
  <si>
    <t xml:space="preserve">9903 m.22</t>
  </si>
  <si>
    <t xml:space="preserve">Yeni kurulan firma seçeneği</t>
  </si>
  <si>
    <t xml:space="preserve">Vergi indirimi yerine faiz oranına +2 puan ve limite +6 mn TL (Öncelikli) / +2,4 mn TL (Hedef) / +5 puan ve +60 mn TL (TYKH)</t>
  </si>
  <si>
    <t xml:space="preserve">9903 m.20/4</t>
  </si>
  <si>
    <t xml:space="preserve">Öncelikli yatırım destekleri (P04)</t>
  </si>
  <si>
    <t xml:space="preserve">Vergi %30; faiz %25 (≤ 12,5 puan)</t>
  </si>
  <si>
    <t xml:space="preserve">9903 m.9/1-a</t>
  </si>
  <si>
    <t xml:space="preserve">≥ 62,7 mn TL ise Stratejik Hamle destekleri (P03)</t>
  </si>
  <si>
    <t xml:space="preserve">Vergi %40; faiz %30 veya makine %25</t>
  </si>
  <si>
    <t xml:space="preserve">9903 m.8/8</t>
  </si>
  <si>
    <t xml:space="preserve">Kapsama giren harcamalar</t>
  </si>
  <si>
    <t xml:space="preserve">Arazi-arsa, bina-inşaat, makine, teknoloji, yazılım, ölçüm-doğrulama, belgelendirme, etüt, test, danışmanlık</t>
  </si>
  <si>
    <t xml:space="preserve">YDDP Tebliği</t>
  </si>
  <si>
    <t xml:space="preserve">K06</t>
  </si>
  <si>
    <t xml:space="preserve">Hibe</t>
  </si>
  <si>
    <t xml:space="preserve">Proje bedelinin (KDV hariç) %30'u; 2027'den etüt dışı %25</t>
  </si>
  <si>
    <t xml:space="preserve">27.092.663 TL</t>
  </si>
  <si>
    <t xml:space="preserve">Uygulama 2 yıl</t>
  </si>
  <si>
    <t xml:space="preserve">min(%30 × PB; üst sınır)</t>
  </si>
  <si>
    <t xml:space="preserve">EVY m.16/2; VAP UE m.7/4; Oluru 12.03.2026</t>
  </si>
  <si>
    <t xml:space="preserve">Mevzuat + Duyuru</t>
  </si>
  <si>
    <t xml:space="preserve">K09, K10, K11, K12</t>
  </si>
  <si>
    <t xml:space="preserve">Erken ödeme</t>
  </si>
  <si>
    <t xml:space="preserve">Desteğin %50'sine kadar; teminat erken ödemenin %25 fazlası</t>
  </si>
  <si>
    <t xml:space="preserve">Başlangıçtan 3 ay içinde talep</t>
  </si>
  <si>
    <t xml:space="preserve">VAP UE m.13, m.15</t>
  </si>
  <si>
    <t xml:space="preserve">K10</t>
  </si>
  <si>
    <t xml:space="preserve">Denetim bedeli (maliyet)</t>
  </si>
  <si>
    <t xml:space="preserve">Öncesi 60.000 TL + KDV; sonrası 95.000 TL + KDV</t>
  </si>
  <si>
    <t xml:space="preserve">2026 denetim bedelleri</t>
  </si>
  <si>
    <t xml:space="preserve">K13</t>
  </si>
  <si>
    <t xml:space="preserve">KDV hariç yatırım bedelinin %30'u</t>
  </si>
  <si>
    <t xml:space="preserve">Başvuru yılı azami tutarı</t>
  </si>
  <si>
    <t xml:space="preserve">EPS UE m.7/5, m.8/1</t>
  </si>
  <si>
    <t xml:space="preserve">K16</t>
  </si>
  <si>
    <t xml:space="preserve">Erken ödeme + nihai ödeme</t>
  </si>
  <si>
    <t xml:space="preserve">%50 erken (teminat +%25); kalan, garanti tasarrufun ≥ %70'i doğrulanınca</t>
  </si>
  <si>
    <t xml:space="preserve">EPS UE m.8/3-4, m.9</t>
  </si>
  <si>
    <t xml:space="preserve">Hibe (performans)</t>
  </si>
  <si>
    <t xml:space="preserve">2026 enerji giderinin %30'una kadar, azaltım puanına göre</t>
  </si>
  <si>
    <t xml:space="preserve">18.061.775 TL</t>
  </si>
  <si>
    <t xml:space="preserve">Ödeme Temmuz 2027+</t>
  </si>
  <si>
    <t xml:space="preserve">min(%30 × gider; üst sınır)</t>
  </si>
  <si>
    <t xml:space="preserve">EVY m.16/3; EKA duyurusu</t>
  </si>
  <si>
    <t xml:space="preserve">K09, K14</t>
  </si>
  <si>
    <t xml:space="preserve">GES bileşeni (geri ödemeli)</t>
  </si>
  <si>
    <t xml:space="preserve">%60 (deprem bölgesi hasarlı işletmede %80/%90)</t>
  </si>
  <si>
    <t xml:space="preserve">14.000.000 TL</t>
  </si>
  <si>
    <t xml:space="preserve">Proje 8-12 ay</t>
  </si>
  <si>
    <t xml:space="preserve">KOSGEB YSDP</t>
  </si>
  <si>
    <t xml:space="preserve">Temiz ve döngüsel ekonomi bileşeni (geri ödemeli)</t>
  </si>
  <si>
    <t xml:space="preserve">%70</t>
  </si>
  <si>
    <t xml:space="preserve">4.000.000 TL</t>
  </si>
  <si>
    <t xml:space="preserve">Büyük %70, KOBİ %80, deprem bölgesi KOBİ %90; en fazla %50'si faizsiz geri ödemeli</t>
  </si>
  <si>
    <t xml:space="preserve">Kuruluş ölçeğine göre program limiti</t>
  </si>
  <si>
    <t xml:space="preserve">1832 2026-2 çağrısı</t>
  </si>
  <si>
    <t xml:space="preserve">Proje bazlı teşvik paketi</t>
  </si>
  <si>
    <t xml:space="preserve">Toplam destek SYT'nin %100'üne kadar</t>
  </si>
  <si>
    <t xml:space="preserve">Proje bazında</t>
  </si>
  <si>
    <t xml:space="preserve">Yararlanma 2030-2032'de biter</t>
  </si>
  <si>
    <t xml:space="preserve">HIT-30 teşvikler sayfası</t>
  </si>
  <si>
    <t xml:space="preserve">Enerji desteği</t>
  </si>
  <si>
    <t xml:space="preserve">Enerji faturasının %50'sine kadar, belirli süre ve limitle</t>
  </si>
  <si>
    <t xml:space="preserve">Diğer unsurlar</t>
  </si>
  <si>
    <t xml:space="preserve">Kurumlar vergisi indirimi, SGK ve nitelikli personel, faiz, hibe, gümrük/KDV, kamu alım garantisi, yatırım yeri, finansman</t>
  </si>
  <si>
    <t xml:space="preserve">HIT-Battery çağrısı</t>
  </si>
  <si>
    <t xml:space="preserve">Hücreden başlayan, yıllık ≥ 5 GWh batarya ve aktif malzeme</t>
  </si>
  <si>
    <t xml:space="preserve">Toplam bütçe 4,5 milyar USD</t>
  </si>
  <si>
    <t xml:space="preserve">HIT-30 çağrılar</t>
  </si>
  <si>
    <t xml:space="preserve">HIT-Wind çağrısı</t>
  </si>
  <si>
    <t xml:space="preserve">Entegre OEM, açık deniz türbini, kritik bileşen</t>
  </si>
  <si>
    <t xml:space="preserve">Toplam bütçe 1,7 milyar USD</t>
  </si>
  <si>
    <t xml:space="preserve">HIT-Solar çağrısı</t>
  </si>
  <si>
    <t xml:space="preserve">Ingot'tan başlayan, yıllık ≥ 5 GW hücre</t>
  </si>
  <si>
    <t xml:space="preserve">Toplam bütçe 2,5 milyar USD</t>
  </si>
  <si>
    <t xml:space="preserve">Kapandı</t>
  </si>
  <si>
    <t xml:space="preserve">Uygulama fiyatı + taban/tavan (kaynağa göre)</t>
  </si>
  <si>
    <t xml:space="preserve">Bkz. 'YEKDEM Fiyatları' sayfası</t>
  </si>
  <si>
    <t xml:space="preserve">USD taban-tavan bandı</t>
  </si>
  <si>
    <t xml:space="preserve">10 yıl (jeotermal, pompaj 15)</t>
  </si>
  <si>
    <t xml:space="preserve">Aylık güncelleme formülü</t>
  </si>
  <si>
    <t xml:space="preserve">7189 sayılı CBK EK-1, EK-2</t>
  </si>
  <si>
    <t xml:space="preserve">Yerli katkı fiyatı</t>
  </si>
  <si>
    <t xml:space="preserve">28,80-38,45 TL kuruş/kWh</t>
  </si>
  <si>
    <t xml:space="preserve">5 yıl (bütünleşik depolama, pompaj, dalga 10)</t>
  </si>
  <si>
    <t xml:space="preserve">7189 sayılı CBK EK-1</t>
  </si>
  <si>
    <t xml:space="preserve">İhtiyaç fazlası alımı</t>
  </si>
  <si>
    <t xml:space="preserve">Saatlik mahsuplaşma sonrası şebekeye verilen fazla, görevli tedarik şirketince alınır</t>
  </si>
  <si>
    <t xml:space="preserve">Yıllık üretim ≤ 2 × ilişkili tüketim</t>
  </si>
  <si>
    <t xml:space="preserve">LÜY m.26/4, m.26/17</t>
  </si>
  <si>
    <t xml:space="preserve">K18</t>
  </si>
  <si>
    <t xml:space="preserve">10 yıl sonrası fiyat</t>
  </si>
  <si>
    <t xml:space="preserve">Aynı tip lisanslı tesis YEKDEM fiyatının %90'ı; saatlik PTF'yi aşamaz</t>
  </si>
  <si>
    <t xml:space="preserve">Süresiz (devam eden tesis)</t>
  </si>
  <si>
    <t xml:space="preserve">%90 × YEKDEM fiyatı</t>
  </si>
  <si>
    <t xml:space="preserve">11415 sayılı CBK m.2</t>
  </si>
  <si>
    <t xml:space="preserve">K20</t>
  </si>
  <si>
    <t xml:space="preserve">Alım garantisi</t>
  </si>
  <si>
    <t xml:space="preserve">Mali teklif fiyatı (Euro-cent/kWh); tavan 5,50; taban GES 3,25, RES 3,50</t>
  </si>
  <si>
    <t xml:space="preserve">Serbest piyasa: GES 60 ay, RES 72 ay; sonra 20 yıl alım</t>
  </si>
  <si>
    <t xml:space="preserve">GES/RES-2026 şartnameleri m.3.3.3, m.8.1</t>
  </si>
  <si>
    <t xml:space="preserve">K21, K22</t>
  </si>
  <si>
    <t xml:space="preserve">Saha ve bağlantı kapasitesi kullanım hakkı</t>
  </si>
  <si>
    <t xml:space="preserve">49 yıl</t>
  </si>
  <si>
    <t xml:space="preserve">Şartname m.1</t>
  </si>
  <si>
    <t xml:space="preserve">Makine tarafından kontrol edilebilir uygunluk kuralları</t>
  </si>
  <si>
    <t xml:space="preserve">Sonuç: Şart (sağlanmazsa uygun değil) · Engel (varsa uygun değil) · Uyarı · Bilgi. Alan adları karar motorundaki değişkenlere karşılık gelir.</t>
  </si>
  <si>
    <t xml:space="preserve">Kural ID</t>
  </si>
  <si>
    <t xml:space="preserve">Program(lar)</t>
  </si>
  <si>
    <t xml:space="preserve">Alan</t>
  </si>
  <si>
    <t xml:space="preserve">Operatör</t>
  </si>
  <si>
    <t xml:space="preserve">Değer</t>
  </si>
  <si>
    <t xml:space="preserve">Birim</t>
  </si>
  <si>
    <t xml:space="preserve">Sonuç</t>
  </si>
  <si>
    <t xml:space="preserve">R001</t>
  </si>
  <si>
    <t xml:space="preserve">P01-P05</t>
  </si>
  <si>
    <t xml:space="preserve">basvuru_tarihi</t>
  </si>
  <si>
    <t xml:space="preserve">≤</t>
  </si>
  <si>
    <t xml:space="preserve">31.12.2030</t>
  </si>
  <si>
    <t xml:space="preserve">tarih</t>
  </si>
  <si>
    <t xml:space="preserve">Şart</t>
  </si>
  <si>
    <t xml:space="preserve">Teşvik belgesi müracaatları 31.12.2030'a kadar değerlendirilir.</t>
  </si>
  <si>
    <t xml:space="preserve">9903 m.5/5</t>
  </si>
  <si>
    <t xml:space="preserve">R002</t>
  </si>
  <si>
    <t xml:space="preserve">harcama_tarihi</t>
  </si>
  <si>
    <t xml:space="preserve">≥</t>
  </si>
  <si>
    <t xml:space="preserve">müracaat tarihi</t>
  </si>
  <si>
    <t xml:space="preserve">Engel</t>
  </si>
  <si>
    <t xml:space="preserve">Müracaattan önceki harcamalar belgeye alınmaz.</t>
  </si>
  <si>
    <t xml:space="preserve">9903 m.5/6</t>
  </si>
  <si>
    <t xml:space="preserve">R003</t>
  </si>
  <si>
    <t xml:space="preserve">P04,P05</t>
  </si>
  <si>
    <t xml:space="preserve">sabit_yatirim</t>
  </si>
  <si>
    <t xml:space="preserve">15.100.000 (1-2. bölge) / 7.500.000 (3-6. bölge)</t>
  </si>
  <si>
    <t xml:space="preserve">TL</t>
  </si>
  <si>
    <t xml:space="preserve">Asgari sabit yatırım (ayrıca belirtilmedikçe).</t>
  </si>
  <si>
    <t xml:space="preserve">9903 m.5/2</t>
  </si>
  <si>
    <t xml:space="preserve">R004</t>
  </si>
  <si>
    <t xml:space="preserve">yatirim_konusu</t>
  </si>
  <si>
    <t xml:space="preserve">∈</t>
  </si>
  <si>
    <t xml:space="preserve">EK-3 listesi ve şartları</t>
  </si>
  <si>
    <t xml:space="preserve">NACE</t>
  </si>
  <si>
    <t xml:space="preserve">TYKH, Yeşil/Dijital Dönüşüm ve m.9/1-v için aranmaz.</t>
  </si>
  <si>
    <t xml:space="preserve">9903 m.5/1</t>
  </si>
  <si>
    <t xml:space="preserve">K01</t>
  </si>
  <si>
    <t xml:space="preserve">R005</t>
  </si>
  <si>
    <t xml:space="preserve">∉</t>
  </si>
  <si>
    <t xml:space="preserve">35.11/35.12 doğalgaz veya ithal kömüre dayalı elektrik üretimi</t>
  </si>
  <si>
    <t xml:space="preserve">EK-3: doğalgaz/ithal kömür elektrik üretimi desteklenmez.</t>
  </si>
  <si>
    <t xml:space="preserve">9903 EK-3 (35.11-35.12)</t>
  </si>
  <si>
    <t xml:space="preserve">R006</t>
  </si>
  <si>
    <t xml:space="preserve">ges_kurulu_guc</t>
  </si>
  <si>
    <t xml:space="preserve">240</t>
  </si>
  <si>
    <t xml:space="preserve">kW</t>
  </si>
  <si>
    <t xml:space="preserve">240 kW altı (çatı dahil) GES ve modernizasyon niteliğindeki GES yatırımları desteklenmez.</t>
  </si>
  <si>
    <t xml:space="preserve">9903 EK-3 (35.12)</t>
  </si>
  <si>
    <t xml:space="preserve">R007</t>
  </si>
  <si>
    <t xml:space="preserve">sarj_istasyonu</t>
  </si>
  <si>
    <t xml:space="preserve">=</t>
  </si>
  <si>
    <t xml:space="preserve">Tebliğ şartları</t>
  </si>
  <si>
    <t xml:space="preserve">Şarj istasyonları tebliğle belirlenecek şartları sağlarsa desteklenir.</t>
  </si>
  <si>
    <t xml:space="preserve">9903 EK-3 (35.15.01)</t>
  </si>
  <si>
    <t xml:space="preserve">R008</t>
  </si>
  <si>
    <t xml:space="preserve">depolama</t>
  </si>
  <si>
    <t xml:space="preserve">EK-3'te var (35.16)</t>
  </si>
  <si>
    <t xml:space="preserve">Bilgi</t>
  </si>
  <si>
    <t xml:space="preserve">Depolama EK-3'te; ancak vergi indirimi ve faiz yok.</t>
  </si>
  <si>
    <t xml:space="preserve">9903 EK-3, m.10/2-3</t>
  </si>
  <si>
    <t xml:space="preserve">R009</t>
  </si>
  <si>
    <t xml:space="preserve">imalat_konusu</t>
  </si>
  <si>
    <t xml:space="preserve">23.5 çimento, 23.6, 23.7, 23.32, 23.12.03, 23.99.05</t>
  </si>
  <si>
    <t xml:space="preserve">EK-3 dışı; bu sektörlerde 9903'e yol yalnız Yeşil Dönüşüm Programı.</t>
  </si>
  <si>
    <t xml:space="preserve">9903 EK-3 (23) · m.5/1</t>
  </si>
  <si>
    <t xml:space="preserve">Mevzuat + Yorum</t>
  </si>
  <si>
    <t xml:space="preserve">R010</t>
  </si>
  <si>
    <t xml:space="preserve">24.10 için yalnız 24.10.05, 24.10.08 (DRI/elektroliz), 24.10.12; 24.4; 24.5</t>
  </si>
  <si>
    <t xml:space="preserve">Temel demir-çelikte EK-3 dar; verimlilik yatırımı için Yeşil Dönüşüm yolu.</t>
  </si>
  <si>
    <t xml:space="preserve">9903 EK-3 (24)</t>
  </si>
  <si>
    <t xml:space="preserve">R011</t>
  </si>
  <si>
    <t xml:space="preserve">pv_panel_uretimi</t>
  </si>
  <si>
    <t xml:space="preserve">Ingot dilimleme veya öncesinden başlayan hücre ile entegre</t>
  </si>
  <si>
    <t xml:space="preserve">Panel üretimi hücre kapasitesini aşmamak kaydıyla.</t>
  </si>
  <si>
    <t xml:space="preserve">9903 EK-3 (26)</t>
  </si>
  <si>
    <t xml:space="preserve">R012</t>
  </si>
  <si>
    <t xml:space="preserve">oz_tuketim_ges_res</t>
  </si>
  <si>
    <t xml:space="preserve">İmalat sanayii işletmesi</t>
  </si>
  <si>
    <t xml:space="preserve">sektör</t>
  </si>
  <si>
    <t xml:space="preserve">Öz tüketim GES/RES yalnız imalat sanayii için Öncelikli.</t>
  </si>
  <si>
    <t xml:space="preserve">9903 m.9/1-e</t>
  </si>
  <si>
    <t xml:space="preserve">R013</t>
  </si>
  <si>
    <t xml:space="preserve">oz_tuketim_ges_res_kurulu_guc</t>
  </si>
  <si>
    <t xml:space="preserve">Bağlantı anlaşmasındaki sözleşme gücü</t>
  </si>
  <si>
    <t xml:space="preserve">Teşvik kapsamı sözleşme gücüyle sınırlı.</t>
  </si>
  <si>
    <t xml:space="preserve">R014</t>
  </si>
  <si>
    <t xml:space="preserve">→</t>
  </si>
  <si>
    <t xml:space="preserve">Faiz desteği yok</t>
  </si>
  <si>
    <t xml:space="preserve">R015</t>
  </si>
  <si>
    <t xml:space="preserve">bolge</t>
  </si>
  <si>
    <t xml:space="preserve">6 ve enerji dağıtım/depolama/gaz dağıtımı veya (e,f,g) dışı elektrik üretimi</t>
  </si>
  <si>
    <t xml:space="preserve">6. bölgede Öncelikli sayılır ama vergi indirimi ve faiz yok.</t>
  </si>
  <si>
    <t xml:space="preserve">9903 m.9/3</t>
  </si>
  <si>
    <t xml:space="preserve">R016</t>
  </si>
  <si>
    <t xml:space="preserve">lng_depolama</t>
  </si>
  <si>
    <t xml:space="preserve">500 mn TL (2026 ≈ 627,5 mn)</t>
  </si>
  <si>
    <t xml:space="preserve">LNG ve yer altı gaz depolama Öncelikli.</t>
  </si>
  <si>
    <t xml:space="preserve">9903 m.9/1-ğ</t>
  </si>
  <si>
    <t xml:space="preserve">R017</t>
  </si>
  <si>
    <t xml:space="preserve">enerji_uretim_dagitim_depolama_gaz</t>
  </si>
  <si>
    <t xml:space="preserve">Vergi indirimi ve faiz yok</t>
  </si>
  <si>
    <t xml:space="preserve">Yalnız gümrük, KDV ve bölgesel SGK.</t>
  </si>
  <si>
    <t xml:space="preserve">9903 m.10/2-3</t>
  </si>
  <si>
    <t xml:space="preserve">R018</t>
  </si>
  <si>
    <t xml:space="preserve">il</t>
  </si>
  <si>
    <t xml:space="preserve">≠</t>
  </si>
  <si>
    <t xml:space="preserve">İstanbul</t>
  </si>
  <si>
    <t xml:space="preserve">İstanbul'daki Hedef yatırımlara vergi indirimi yok.</t>
  </si>
  <si>
    <t xml:space="preserve">9903 m.10/2</t>
  </si>
  <si>
    <t xml:space="preserve">R019</t>
  </si>
  <si>
    <t xml:space="preserve">faiz_bolge</t>
  </si>
  <si>
    <t xml:space="preserve">4, 5, 6</t>
  </si>
  <si>
    <t xml:space="preserve">bölge</t>
  </si>
  <si>
    <t xml:space="preserve">Hedef yatırımda faiz desteği yalnız 4-6. bölgede.</t>
  </si>
  <si>
    <t xml:space="preserve">9903 m.10/3</t>
  </si>
  <si>
    <t xml:space="preserve">R020</t>
  </si>
  <si>
    <t xml:space="preserve">100 mn TL (yüksek tek.) / 200 mn TL (diğer); 2026: 125 / ≈ 251 mn</t>
  </si>
  <si>
    <t xml:space="preserve">Stratejik Hamle asgari tutarı.</t>
  </si>
  <si>
    <t xml:space="preserve">9903 m.8/2</t>
  </si>
  <si>
    <t xml:space="preserve">Mevzuat + Teyit edilecek + Hesaplanan</t>
  </si>
  <si>
    <t xml:space="preserve">R021</t>
  </si>
  <si>
    <t xml:space="preserve">P03,P07</t>
  </si>
  <si>
    <t xml:space="preserve">yesil_dijital_sabit_yatirim</t>
  </si>
  <si>
    <t xml:space="preserve">62.700.000</t>
  </si>
  <si>
    <t xml:space="preserve">Değerlendirme süreci olmadan Stratejik Hamle'den desteklenebilir.</t>
  </si>
  <si>
    <t xml:space="preserve">R022</t>
  </si>
  <si>
    <t xml:space="preserve">P01-P03</t>
  </si>
  <si>
    <t xml:space="preserve">makine_birim_fiyat</t>
  </si>
  <si>
    <t xml:space="preserve">2.500.000</t>
  </si>
  <si>
    <t xml:space="preserve">Makine desteği birim fiyat alt sınırı (2 mn TL'nin 2026 değeri).</t>
  </si>
  <si>
    <t xml:space="preserve">9903 m.16/1</t>
  </si>
  <si>
    <t xml:space="preserve">R023</t>
  </si>
  <si>
    <t xml:space="preserve">makine_ve_faiz</t>
  </si>
  <si>
    <t xml:space="preserve">Birlikte</t>
  </si>
  <si>
    <t xml:space="preserve">Makine desteği alan yatırıma faiz desteği verilmez.</t>
  </si>
  <si>
    <t xml:space="preserve">9903 m.15/9, m.16/3</t>
  </si>
  <si>
    <t xml:space="preserve">R024</t>
  </si>
  <si>
    <t xml:space="preserve">İlin Yerel Yatırım Konuları Listesi</t>
  </si>
  <si>
    <t xml:space="preserve">Proje bazında komite değerlendirmesi.</t>
  </si>
  <si>
    <t xml:space="preserve">9903 m.7/3; Tebliğ EK-1</t>
  </si>
  <si>
    <t xml:space="preserve">K05</t>
  </si>
  <si>
    <t xml:space="preserve">R025</t>
  </si>
  <si>
    <t xml:space="preserve">olcek_ve_vergi</t>
  </si>
  <si>
    <t xml:space="preserve">KOBİ değil ve vergi indirimi var</t>
  </si>
  <si>
    <t xml:space="preserve">Ekosistem geliştirme planı: SYT'nin ≥ %2'si kadar harcama yükümlülüğü.</t>
  </si>
  <si>
    <t xml:space="preserve">R026</t>
  </si>
  <si>
    <t xml:space="preserve">yap_islet_yid</t>
  </si>
  <si>
    <t xml:space="preserve">4283 Yap-İşlet, 3996 YİD, rödovans</t>
  </si>
  <si>
    <t xml:space="preserve">Bu yatırımlar vergi indiriminden yararlanamaz.</t>
  </si>
  <si>
    <t xml:space="preserve">9903 m.20/3</t>
  </si>
  <si>
    <t xml:space="preserve">R027</t>
  </si>
  <si>
    <t xml:space="preserve">elektrik_uretimi</t>
  </si>
  <si>
    <t xml:space="preserve">Yatırım yeri tahsis edilmez</t>
  </si>
  <si>
    <t xml:space="preserve">9903 m.21/3</t>
  </si>
  <si>
    <t xml:space="preserve">R028</t>
  </si>
  <si>
    <t xml:space="preserve">finansal_kiralama</t>
  </si>
  <si>
    <t xml:space="preserve">3.800.000</t>
  </si>
  <si>
    <t xml:space="preserve">Her finansal kiralama şirketi için asgari tutar.</t>
  </si>
  <si>
    <t xml:space="preserve">9903 m.5/3</t>
  </si>
  <si>
    <t xml:space="preserve">R029</t>
  </si>
  <si>
    <t xml:space="preserve">maddi_olmayan_varlik</t>
  </si>
  <si>
    <t xml:space="preserve">SYT</t>
  </si>
  <si>
    <t xml:space="preserve">Dijital Dönüşüm hariç.</t>
  </si>
  <si>
    <t xml:space="preserve">9903 m.5/8</t>
  </si>
  <si>
    <t xml:space="preserve">R030</t>
  </si>
  <si>
    <t xml:space="preserve">gumruk_muafiyeti</t>
  </si>
  <si>
    <t xml:space="preserve">EK-4 GTİP listesi</t>
  </si>
  <si>
    <t xml:space="preserve">GTİP</t>
  </si>
  <si>
    <t xml:space="preserve">EK-4'teki makineler muafiyetsiz ithal edilip SYT'ye dahil edilebilir.</t>
  </si>
  <si>
    <t xml:space="preserve">9903 m.13/2, EK-4</t>
  </si>
  <si>
    <t xml:space="preserve">R031</t>
  </si>
  <si>
    <t xml:space="preserve">ilce</t>
  </si>
  <si>
    <t xml:space="preserve">7028 EK-2 deprem ilçeleri</t>
  </si>
  <si>
    <t xml:space="preserve">31.12.2026'ya kadar müracaatta 6. bölge destekleri; imalatta EK-3 şartı aranmaz.</t>
  </si>
  <si>
    <t xml:space="preserve">9903 geçici m.3</t>
  </si>
  <si>
    <t xml:space="preserve">K02, K08</t>
  </si>
  <si>
    <t xml:space="preserve">R032</t>
  </si>
  <si>
    <t xml:space="preserve">il_ve_konum</t>
  </si>
  <si>
    <t xml:space="preserve">Cazibe EK-1 illerinde OSB/endüstri bölgesi + imalat (NACE 10-32, 38.2)</t>
  </si>
  <si>
    <t xml:space="preserve">31.12.2026'ya kadar müracaatta 6. bölge destekleri.</t>
  </si>
  <si>
    <t xml:space="preserve">9903 geçici m.4</t>
  </si>
  <si>
    <t xml:space="preserve">K02, K07</t>
  </si>
  <si>
    <t xml:space="preserve">R033</t>
  </si>
  <si>
    <t xml:space="preserve">konum</t>
  </si>
  <si>
    <t xml:space="preserve">OSB/endüstri bölgesi veya EK-5 ilçesi</t>
  </si>
  <si>
    <t xml:space="preserve">SGK desteği bir (ikisi birden: iki) alt bölgeden.</t>
  </si>
  <si>
    <t xml:space="preserve">R034</t>
  </si>
  <si>
    <t xml:space="preserve">sektor</t>
  </si>
  <si>
    <t xml:space="preserve">İmalat sanayii; Türkiye'de yerleşik sermaye şirketi</t>
  </si>
  <si>
    <t xml:space="preserve">R035</t>
  </si>
  <si>
    <t xml:space="preserve">yol_haritasi_raporu</t>
  </si>
  <si>
    <t xml:space="preserve">Bakanlık şablonu; başvurudan sonra ≤ 40 iş günü</t>
  </si>
  <si>
    <t xml:space="preserve">En az bir proje önerisi içermeli.</t>
  </si>
  <si>
    <t xml:space="preserve">R036</t>
  </si>
  <si>
    <t xml:space="preserve">proje_hedefi</t>
  </si>
  <si>
    <t xml:space="preserve">Birim üretim başına ölçülebilir iyileşme (enerji, sera gazı, su, atık vb.)</t>
  </si>
  <si>
    <t xml:space="preserve">Hedefe ulaşılamazsa Öncelikli niteliği kaybedilir.</t>
  </si>
  <si>
    <t xml:space="preserve">R037</t>
  </si>
  <si>
    <t xml:space="preserve">yatirim_cinsi</t>
  </si>
  <si>
    <t xml:space="preserve">Komple yeni yatırım</t>
  </si>
  <si>
    <t xml:space="preserve">Mevcut tesise ilave dışındaki yeni yatırımlar desteklenmez.</t>
  </si>
  <si>
    <t xml:space="preserve">R038</t>
  </si>
  <si>
    <t xml:space="preserve">yek_uretim_tesisi</t>
  </si>
  <si>
    <t xml:space="preserve">Ayrı teşvik belgesi</t>
  </si>
  <si>
    <t xml:space="preserve">YEK üretim tesisi bölgesel destekler için ayrı belgeyle.</t>
  </si>
  <si>
    <t xml:space="preserve">R039</t>
  </si>
  <si>
    <t xml:space="preserve">evdes</t>
  </si>
  <si>
    <t xml:space="preserve">Üye</t>
  </si>
  <si>
    <t xml:space="preserve">VAP UE m.5/1-a</t>
  </si>
  <si>
    <t xml:space="preserve">R040</t>
  </si>
  <si>
    <t xml:space="preserve">enerji_yoneticisi</t>
  </si>
  <si>
    <t xml:space="preserve">Yükümlülük yerine getirilmiş</t>
  </si>
  <si>
    <t xml:space="preserve">EVY m.9/1-2 ve m.32/1.</t>
  </si>
  <si>
    <t xml:space="preserve">VAP UE m.5/1-b,c</t>
  </si>
  <si>
    <t xml:space="preserve">R041</t>
  </si>
  <si>
    <t xml:space="preserve">iso_50001</t>
  </si>
  <si>
    <t xml:space="preserve">Var</t>
  </si>
  <si>
    <t xml:space="preserve">VAP UE m.5/1-ç</t>
  </si>
  <si>
    <t xml:space="preserve">R042</t>
  </si>
  <si>
    <t xml:space="preserve">kojenerasyon_verim_belgesi</t>
  </si>
  <si>
    <t xml:space="preserve">Var (kojenerasyon projelerinde)</t>
  </si>
  <si>
    <t xml:space="preserve">VAP UE m.5/1-d</t>
  </si>
  <si>
    <t xml:space="preserve">R043</t>
  </si>
  <si>
    <t xml:space="preserve">proje_bedeli</t>
  </si>
  <si>
    <t xml:space="preserve">5.000.000 (üzerinde)</t>
  </si>
  <si>
    <t xml:space="preserve">01.07.2026'dan itibaren.</t>
  </si>
  <si>
    <t xml:space="preserve">ETKB duyurusu · Oluru 12.03.2026</t>
  </si>
  <si>
    <t xml:space="preserve">K11</t>
  </si>
  <si>
    <t xml:space="preserve">R044</t>
  </si>
  <si>
    <t xml:space="preserve">geri_odeme</t>
  </si>
  <si>
    <t xml:space="preserve">7 yıl; kojenerasyon, atık ısıdan elektrik, YEK ısı: 10 yıl</t>
  </si>
  <si>
    <t xml:space="preserve">yıl</t>
  </si>
  <si>
    <t xml:space="preserve">R045</t>
  </si>
  <si>
    <t xml:space="preserve">proje_bedeli (mühendis hazırlarsa)</t>
  </si>
  <si>
    <t xml:space="preserve">15.000.000</t>
  </si>
  <si>
    <t xml:space="preserve">Etüt-proje sertifikalı mühendis hazırlarsa.</t>
  </si>
  <si>
    <t xml:space="preserve">R046</t>
  </si>
  <si>
    <t xml:space="preserve">proje_durumu</t>
  </si>
  <si>
    <t xml:space="preserve">Başlanmış, ikinci el, leasing, yakıt dönüşümü, yeni tesis, taşıt, satış amaçlı kojen/YEK ısı, YEK elektrik, kiralık ekipman</t>
  </si>
  <si>
    <t xml:space="preserve">VAP UE m.6/7</t>
  </si>
  <si>
    <t xml:space="preserve">R047</t>
  </si>
  <si>
    <t xml:space="preserve">proje_sayisi</t>
  </si>
  <si>
    <t xml:space="preserve">5 (devam edenler dahil)</t>
  </si>
  <si>
    <t xml:space="preserve">adet</t>
  </si>
  <si>
    <t xml:space="preserve">VAP UE m.6/6</t>
  </si>
  <si>
    <t xml:space="preserve">R048</t>
  </si>
  <si>
    <t xml:space="preserve">ekipman</t>
  </si>
  <si>
    <t xml:space="preserve">Başka kamu desteği alınan/başvurulan</t>
  </si>
  <si>
    <t xml:space="preserve">EVY m.17/A-6; VAP UE m.11/1</t>
  </si>
  <si>
    <t xml:space="preserve">K09, K10</t>
  </si>
  <si>
    <t xml:space="preserve">R049</t>
  </si>
  <si>
    <t xml:space="preserve">gerceklesen_tasarruf</t>
  </si>
  <si>
    <t xml:space="preserve">%90 (öngörülene oranla)</t>
  </si>
  <si>
    <t xml:space="preserve">%</t>
  </si>
  <si>
    <t xml:space="preserve">Ödeme şartı.</t>
  </si>
  <si>
    <t xml:space="preserve">VAP UE m.9/5</t>
  </si>
  <si>
    <t xml:space="preserve">R050</t>
  </si>
  <si>
    <t xml:space="preserve">sozlesme_makami</t>
  </si>
  <si>
    <t xml:space="preserve">Enerji yöneticisi görevlendirmekle yükümlü (sanayi ≥ 1.000 TEP; ticari/hizmet ≥ 500 TEP veya ≥ 20.000 m²)</t>
  </si>
  <si>
    <t xml:space="preserve">EPS UE m.2; EVY m.9/1-2</t>
  </si>
  <si>
    <t xml:space="preserve">K16, K09</t>
  </si>
  <si>
    <t xml:space="preserve">R051</t>
  </si>
  <si>
    <t xml:space="preserve">yatirim_bedeli</t>
  </si>
  <si>
    <t xml:space="preserve">5.000.000</t>
  </si>
  <si>
    <t xml:space="preserve">Özel sektör EPS'lerinde.</t>
  </si>
  <si>
    <t xml:space="preserve">ETKB EPS duyurusu</t>
  </si>
  <si>
    <t xml:space="preserve">K17</t>
  </si>
  <si>
    <t xml:space="preserve">R052</t>
  </si>
  <si>
    <t xml:space="preserve">basit_geri_odeme</t>
  </si>
  <si>
    <t xml:space="preserve">1</t>
  </si>
  <si>
    <t xml:space="preserve">R053</t>
  </si>
  <si>
    <t xml:space="preserve">Başlanmış, ikinci el, yakıt dönüşümü, yeni tesis, taşıt, satış amaçlı kojen/YEK ısı, YEK elektrik</t>
  </si>
  <si>
    <t xml:space="preserve">EPS UE m.6/3</t>
  </si>
  <si>
    <t xml:space="preserve">R054</t>
  </si>
  <si>
    <t xml:space="preserve">kamu_destegi</t>
  </si>
  <si>
    <t xml:space="preserve">Yok (ESCO ve sözleşme makamı)</t>
  </si>
  <si>
    <t xml:space="preserve">EPS UE m.5/4</t>
  </si>
  <si>
    <t xml:space="preserve">R055</t>
  </si>
  <si>
    <t xml:space="preserve">2026 çağrısı.</t>
  </si>
  <si>
    <t xml:space="preserve">ETKB EKA duyurusu</t>
  </si>
  <si>
    <t xml:space="preserve">K14</t>
  </si>
  <si>
    <t xml:space="preserve">R056</t>
  </si>
  <si>
    <t xml:space="preserve">on_kosullar</t>
  </si>
  <si>
    <t xml:space="preserve">EVDES, enerji yöneticisi, bilgi verme, ISO 50001</t>
  </si>
  <si>
    <t xml:space="preserve">EKA UE m.5/1</t>
  </si>
  <si>
    <t xml:space="preserve">K15</t>
  </si>
  <si>
    <t xml:space="preserve">R057</t>
  </si>
  <si>
    <t xml:space="preserve">01.07.2026-30.09.2026</t>
  </si>
  <si>
    <t xml:space="preserve">R058</t>
  </si>
  <si>
    <t xml:space="preserve">referans_denklem</t>
  </si>
  <si>
    <t xml:space="preserve">Anlamlı (2023-2025 verisiyle)</t>
  </si>
  <si>
    <t xml:space="preserve">EKA UE m.7/1-ç</t>
  </si>
  <si>
    <t xml:space="preserve">R059</t>
  </si>
  <si>
    <t xml:space="preserve">siralama</t>
  </si>
  <si>
    <t xml:space="preserve">Sektörde ilk 10</t>
  </si>
  <si>
    <t xml:space="preserve">sıra</t>
  </si>
  <si>
    <t xml:space="preserve">İzlemeye alınma.</t>
  </si>
  <si>
    <t xml:space="preserve">R060</t>
  </si>
  <si>
    <t xml:space="preserve">azaltim_puani</t>
  </si>
  <si>
    <t xml:space="preserve">&gt;</t>
  </si>
  <si>
    <t xml:space="preserve">2027 nihai değerlendirme.</t>
  </si>
  <si>
    <t xml:space="preserve">R061</t>
  </si>
  <si>
    <t xml:space="preserve">olcek</t>
  </si>
  <si>
    <t xml:space="preserve">KOBİ</t>
  </si>
  <si>
    <t xml:space="preserve">R062</t>
  </si>
  <si>
    <t xml:space="preserve">Sanayi (imalat)</t>
  </si>
  <si>
    <t xml:space="preserve">Dünya Bankası uygun olmayan sektörler listesi ayrıca uygulanır.</t>
  </si>
  <si>
    <t xml:space="preserve">R063</t>
  </si>
  <si>
    <t xml:space="preserve">ges</t>
  </si>
  <si>
    <t xml:space="preserve">Çatı üstü veya tesis içi (on-site)</t>
  </si>
  <si>
    <t xml:space="preserve">R064</t>
  </si>
  <si>
    <t xml:space="preserve">proje</t>
  </si>
  <si>
    <t xml:space="preserve">Yeşil dönüşüm Ar-Ge, THS 3-9</t>
  </si>
  <si>
    <t xml:space="preserve">En az lisans mezunu proje personeli.</t>
  </si>
  <si>
    <t xml:space="preserve">R065</t>
  </si>
  <si>
    <t xml:space="preserve">HIT-30 30+ öncelikli konu</t>
  </si>
  <si>
    <t xml:space="preserve">Küresel ölçek, teknik ve finansal yeterlilik aranır.</t>
  </si>
  <si>
    <t xml:space="preserve">HIT-30 sektörler / proje nitelikleri</t>
  </si>
  <si>
    <t xml:space="preserve">R066</t>
  </si>
  <si>
    <t xml:space="preserve">batarya_kapasitesi</t>
  </si>
  <si>
    <t xml:space="preserve">5</t>
  </si>
  <si>
    <t xml:space="preserve">GWh/yıl</t>
  </si>
  <si>
    <t xml:space="preserve">HIT-Battery; hücreden başlayan üretim.</t>
  </si>
  <si>
    <t xml:space="preserve">R067</t>
  </si>
  <si>
    <t xml:space="preserve">yek_belgesi</t>
  </si>
  <si>
    <t xml:space="preserve">Var; lisanslı üretim</t>
  </si>
  <si>
    <t xml:space="preserve">5346 m.6; 7189 CBK</t>
  </si>
  <si>
    <t xml:space="preserve">R068</t>
  </si>
  <si>
    <t xml:space="preserve">isletmeye_giris</t>
  </si>
  <si>
    <t xml:space="preserve">01.07.2021-31.12.2030</t>
  </si>
  <si>
    <t xml:space="preserve">7189 CBK m.1</t>
  </si>
  <si>
    <t xml:space="preserve">R069</t>
  </si>
  <si>
    <t xml:space="preserve">depolama_fiyati</t>
  </si>
  <si>
    <t xml:space="preserve">Yalnız YEK'ten depolanıp verilen enerji</t>
  </si>
  <si>
    <t xml:space="preserve">Şebekeden çekilip depolanan enerjiye uygulanmaz.</t>
  </si>
  <si>
    <t xml:space="preserve">7189 CBK EK-1 (***)</t>
  </si>
  <si>
    <t xml:space="preserve">R070</t>
  </si>
  <si>
    <t xml:space="preserve">kurulu_guc (h bendi)</t>
  </si>
  <si>
    <t xml:space="preserve">Sözleşme gücü × 2 (sanayi, belediye, tarımsal sulama); diğerleri × 1</t>
  </si>
  <si>
    <t xml:space="preserve">LÜY m.5/1-h</t>
  </si>
  <si>
    <t xml:space="preserve">R071</t>
  </si>
  <si>
    <t xml:space="preserve">yillik_uretim</t>
  </si>
  <si>
    <t xml:space="preserve">İlişkili tüketimin 2 katı</t>
  </si>
  <si>
    <t xml:space="preserve">MWh</t>
  </si>
  <si>
    <t xml:space="preserve">Aşan kısım YEKDEM'e bedelsiz katkı.</t>
  </si>
  <si>
    <t xml:space="preserve">LÜY m.26/17</t>
  </si>
  <si>
    <t xml:space="preserve">R072</t>
  </si>
  <si>
    <t xml:space="preserve">basvuran</t>
  </si>
  <si>
    <t xml:space="preserve">Dağıtım/görevli tedarik şirketlerinin ortakları, kontrolündeki tüzel kişiler (kendi dağıtım bölgelerinde, RES/GES)</t>
  </si>
  <si>
    <t xml:space="preserve">Enerjisa gibi dağıtım ortaklı gruplar için kritik.</t>
  </si>
  <si>
    <t xml:space="preserve">R073</t>
  </si>
  <si>
    <t xml:space="preserve">butunlesik_depolama</t>
  </si>
  <si>
    <t xml:space="preserve">Üretim tesisinin elektriksel gücü</t>
  </si>
  <si>
    <t xml:space="preserve">LÜY Ek m.3</t>
  </si>
  <si>
    <t xml:space="preserve">R074</t>
  </si>
  <si>
    <t xml:space="preserve">tuketim_tesisine_butunlesik_depolama</t>
  </si>
  <si>
    <t xml:space="preserve">Sözleşme gücü; aynı ölçüm noktası; yalnız tesis ihtiyacı</t>
  </si>
  <si>
    <t xml:space="preserve">Şebekeye verilen enerji tedarikçi veriş miktarına sayılmaz.</t>
  </si>
  <si>
    <t xml:space="preserve">Depolama Yön. m.6 (2021 metni)</t>
  </si>
  <si>
    <t xml:space="preserve">K24</t>
  </si>
  <si>
    <t xml:space="preserve">R075</t>
  </si>
  <si>
    <t xml:space="preserve">mustakil_depolama</t>
  </si>
  <si>
    <t xml:space="preserve">Tedarik lisansı ve ≥ 2 MW</t>
  </si>
  <si>
    <t xml:space="preserve">2021 metni; sonraki değişiklikler teyit edilecek.</t>
  </si>
  <si>
    <t xml:space="preserve">Depolama Yön. m.7 (2021 metni)</t>
  </si>
  <si>
    <t xml:space="preserve">R076</t>
  </si>
  <si>
    <t xml:space="preserve">Tüzel kişi / ortak girişim / yabancı sermaye şirketi</t>
  </si>
  <si>
    <t xml:space="preserve">Şartname m.3.2</t>
  </si>
  <si>
    <t xml:space="preserve">K21</t>
  </si>
  <si>
    <t xml:space="preserve">R077</t>
  </si>
  <si>
    <t xml:space="preserve">ges_yerlilik</t>
  </si>
  <si>
    <t xml:space="preserve">Yerli malı belgeli modül; hücre en az ham wafer'dan yerli</t>
  </si>
  <si>
    <t xml:space="preserve">GES-2026 şartnamesi m.6</t>
  </si>
  <si>
    <t xml:space="preserve">R078</t>
  </si>
  <si>
    <t xml:space="preserve">res_yerlilik_puani</t>
  </si>
  <si>
    <t xml:space="preserve">55</t>
  </si>
  <si>
    <t xml:space="preserve">puan</t>
  </si>
  <si>
    <t xml:space="preserve">RES-2026 şartnamesi m.6</t>
  </si>
  <si>
    <t xml:space="preserve">K22</t>
  </si>
  <si>
    <t xml:space="preserve">Yatırım türü × program matrisi</t>
  </si>
  <si>
    <t xml:space="preserve">✔ uygun · ◐ koşullu · ✖ kapsam dışı · — ilgisiz/değerlendirilmedi. Gerekçe ve madde için 'Matris Gerekçeleri' sayfasına bakın.</t>
  </si>
  <si>
    <t xml:space="preserve">Program ID →</t>
  </si>
  <si>
    <t xml:space="preserve">Yatırım türü</t>
  </si>
  <si>
    <t xml:space="preserve">9903 Öncelikli</t>
  </si>
  <si>
    <t xml:space="preserve">9903 Hedef</t>
  </si>
  <si>
    <t xml:space="preserve">9903 Stratejik</t>
  </si>
  <si>
    <t xml:space="preserve">9903 THP</t>
  </si>
  <si>
    <t xml:space="preserve">9903 YKH</t>
  </si>
  <si>
    <t xml:space="preserve">Yeşil Dönüşüm</t>
  </si>
  <si>
    <t xml:space="preserve">VAP</t>
  </si>
  <si>
    <t xml:space="preserve">EPS</t>
  </si>
  <si>
    <t xml:space="preserve">EKA</t>
  </si>
  <si>
    <t xml:space="preserve">TÜBİTAK 1832</t>
  </si>
  <si>
    <t xml:space="preserve">HIT-30</t>
  </si>
  <si>
    <t xml:space="preserve">YEKDEM</t>
  </si>
  <si>
    <t xml:space="preserve">Lisanssız</t>
  </si>
  <si>
    <t xml:space="preserve">YEKA 2026</t>
  </si>
  <si>
    <t xml:space="preserve">T01</t>
  </si>
  <si>
    <t xml:space="preserve">GES · öz tüketim (imalat)</t>
  </si>
  <si>
    <t xml:space="preserve">T02</t>
  </si>
  <si>
    <t xml:space="preserve">GES · öz tüketim (ticari/hizmet, diğer)</t>
  </si>
  <si>
    <t xml:space="preserve">T03</t>
  </si>
  <si>
    <t xml:space="preserve">GES · lisanslı / satış (YEKA dışı)</t>
  </si>
  <si>
    <t xml:space="preserve">T04</t>
  </si>
  <si>
    <t xml:space="preserve">GES · YEKA</t>
  </si>
  <si>
    <t xml:space="preserve">T05</t>
  </si>
  <si>
    <t xml:space="preserve">RES · öz tüketim</t>
  </si>
  <si>
    <t xml:space="preserve">T06</t>
  </si>
  <si>
    <t xml:space="preserve">RES · lisanslı / YEKA</t>
  </si>
  <si>
    <t xml:space="preserve">T07</t>
  </si>
  <si>
    <t xml:space="preserve">BESS · tüketim tesisine bütünleşik</t>
  </si>
  <si>
    <t xml:space="preserve">T08</t>
  </si>
  <si>
    <t xml:space="preserve">BESS · üretim tesisine bütünleşik</t>
  </si>
  <si>
    <t xml:space="preserve">T09</t>
  </si>
  <si>
    <t xml:space="preserve">BESS · müstakil depolama</t>
  </si>
  <si>
    <t xml:space="preserve">T10</t>
  </si>
  <si>
    <t xml:space="preserve">HES</t>
  </si>
  <si>
    <t xml:space="preserve">T11</t>
  </si>
  <si>
    <t xml:space="preserve">Biyokütle / biyogaz · elektrik</t>
  </si>
  <si>
    <t xml:space="preserve">T12</t>
  </si>
  <si>
    <t xml:space="preserve">Jeotermal · elektrik</t>
  </si>
  <si>
    <t xml:space="preserve">T13</t>
  </si>
  <si>
    <t xml:space="preserve">Jeotermal / biyokütle · ısı (öz tüketim)</t>
  </si>
  <si>
    <t xml:space="preserve">T14</t>
  </si>
  <si>
    <t xml:space="preserve">Kojenerasyon (öz tüketim)</t>
  </si>
  <si>
    <t xml:space="preserve">T15</t>
  </si>
  <si>
    <t xml:space="preserve">Atık ısı geri kazanımı (ısı)</t>
  </si>
  <si>
    <t xml:space="preserve">T16</t>
  </si>
  <si>
    <t xml:space="preserve">Atık ısıdan elektrik (ORC vb.)</t>
  </si>
  <si>
    <t xml:space="preserve">T17</t>
  </si>
  <si>
    <t xml:space="preserve">Isı pompası</t>
  </si>
  <si>
    <t xml:space="preserve">T18</t>
  </si>
  <si>
    <t xml:space="preserve">Enerji verimliliği (motor, pompa, fan, kompresör, buhar, yalıtım)</t>
  </si>
  <si>
    <t xml:space="preserve">T19</t>
  </si>
  <si>
    <t xml:space="preserve">Yakıt dönüşümü</t>
  </si>
  <si>
    <t xml:space="preserve">T20</t>
  </si>
  <si>
    <t xml:space="preserve">Yeşil hidrojen / elektrolizör</t>
  </si>
  <si>
    <t xml:space="preserve">T21</t>
  </si>
  <si>
    <t xml:space="preserve">Enerji teknolojisi üretimi (panel/hücre, batarya, türbin)</t>
  </si>
  <si>
    <t xml:space="preserve">T22</t>
  </si>
  <si>
    <t xml:space="preserve">Yatırımsız iyileştirme (operasyonel)</t>
  </si>
  <si>
    <t xml:space="preserve">Özet (formül)</t>
  </si>
  <si>
    <t xml:space="preserve">✔ uygun tür sayısı</t>
  </si>
  <si>
    <t xml:space="preserve">◐ koşullu tür sayısı</t>
  </si>
  <si>
    <t xml:space="preserve">✖ kapsam dışı tür sayısı</t>
  </si>
  <si>
    <t xml:space="preserve">Yatırım türü × program gerekçeleri</t>
  </si>
  <si>
    <t xml:space="preserve">Matris bu tablodan INDEX/MATCH ile beslenir. Durum: ✔ uygun · ◐ koşullu · ✖ kapsam dışı. Satır eklenirse matris kendiliğinden güncellenir.</t>
  </si>
  <si>
    <t xml:space="preserve">Anahtar</t>
  </si>
  <si>
    <t xml:space="preserve">Tür ID</t>
  </si>
  <si>
    <t xml:space="preserve">Durum</t>
  </si>
  <si>
    <t xml:space="preserve">Gerekçe</t>
  </si>
  <si>
    <t xml:space="preserve">◐</t>
  </si>
  <si>
    <t xml:space="preserve">Yalnız imalat; sözleşme gücüne kadar; ≥ 240 kW; faiz yok.</t>
  </si>
  <si>
    <t xml:space="preserve">9903 m.9/1-e, m.9/2, EK-3 35.12</t>
  </si>
  <si>
    <t xml:space="preserve">✖</t>
  </si>
  <si>
    <t xml:space="preserve">Öncelikli (e) kapsamında değerlendirilir.</t>
  </si>
  <si>
    <t xml:space="preserve">YEK üretim tesisi ayrı belgeyle desteklenir.</t>
  </si>
  <si>
    <t xml:space="preserve">YEK elektrik üretimi kapsam dışı.</t>
  </si>
  <si>
    <t xml:space="preserve">VAP UE m.6/7-ğ</t>
  </si>
  <si>
    <t xml:space="preserve">EPS UE m.6/3-g</t>
  </si>
  <si>
    <t xml:space="preserve">Tamamlayıcı: karbon/enerji yoğunluğunu düşürürse performans desteği.</t>
  </si>
  <si>
    <t xml:space="preserve">EKA UE m.1</t>
  </si>
  <si>
    <t xml:space="preserve">KOBİ ise GES bileşeni (14 mn TL, %60, geri ödemeli); çağrı teyit.</t>
  </si>
  <si>
    <t xml:space="preserve">✔</t>
  </si>
  <si>
    <t xml:space="preserve">(h) bendi: sözleşme gücünün 2 katına kadar; saatlik mahsuplaşma.</t>
  </si>
  <si>
    <t xml:space="preserve">LÜY m.5/1-h, m.26</t>
  </si>
  <si>
    <t xml:space="preserve">Öncelikli (e) yalnız imalat sanayii için.</t>
  </si>
  <si>
    <t xml:space="preserve">EK-3 35.12 (≥ 240 kW); vergi indirimi ve faiz yok.</t>
  </si>
  <si>
    <t xml:space="preserve">Otel, AVM, hastane, ofis için tamamlayıcı.</t>
  </si>
  <si>
    <t xml:space="preserve">EKA duyurusu</t>
  </si>
  <si>
    <t xml:space="preserve">Sözleşme gücüne kadar (sanayi dışı: 1 kat).</t>
  </si>
  <si>
    <t xml:space="preserve">EK-3 35.12; yalnız KDV, gümrük ve SGK.</t>
  </si>
  <si>
    <t xml:space="preserve">YEK belgeli lisanslı tesis: 10 yıl YEKDEM, 5 yıl yerli katkı.</t>
  </si>
  <si>
    <t xml:space="preserve">7189 CBK</t>
  </si>
  <si>
    <t xml:space="preserve">14 yarışma, 900 MWe; tavan 5,50 / taban 3,25 €c/kWh.</t>
  </si>
  <si>
    <t xml:space="preserve">GES-2026 şartnamesi</t>
  </si>
  <si>
    <t xml:space="preserve">YEKA santrali de EK-3 35.12 kapsamında; teşvik belgesi uygulaması teyit.</t>
  </si>
  <si>
    <t xml:space="preserve">9903 EK-3</t>
  </si>
  <si>
    <t xml:space="preserve">İmalat öz tüketim RES; sözleşme gücüne kadar; faiz yok.</t>
  </si>
  <si>
    <t xml:space="preserve">(h) bendi kapsamında.</t>
  </si>
  <si>
    <t xml:space="preserve">EK-3 35.12; yalnız KDV, gümrük, SGK. Çelik kuleler gümrük muafiyeti dışı.</t>
  </si>
  <si>
    <t xml:space="preserve">9903 m.10, EK-4 (7308.20)</t>
  </si>
  <si>
    <t xml:space="preserve">Karasal 106 / deniz üstü 144 TL kuruş/kWh.</t>
  </si>
  <si>
    <t xml:space="preserve">7 yarışma, 1.500 MWe; taban 3,50 €c/kWh; yerlilik ≥ 55 puan.</t>
  </si>
  <si>
    <t xml:space="preserve">RES-2026 şartnamesi</t>
  </si>
  <si>
    <t xml:space="preserve">Sözleşme gücüne kadar, aynı ölçüm noktası, yalnız tesis ihtiyacı.</t>
  </si>
  <si>
    <t xml:space="preserve">Depolama Yön. m.6</t>
  </si>
  <si>
    <t xml:space="preserve">Öz tüketim GES'e entegre ise aynı belgeye alınabilir mi teyit; Li-ion aküde gümrük muafiyeti yok.</t>
  </si>
  <si>
    <t xml:space="preserve">9903 m.9/1-e, EK-4 (8507.60)</t>
  </si>
  <si>
    <t xml:space="preserve">Depolama bir verimlilik önlemi olarak VAP kapsamında tanımlı değil.</t>
  </si>
  <si>
    <t xml:space="preserve">VAP UE m.6</t>
  </si>
  <si>
    <t xml:space="preserve">Karbon yoğunluğunu düşürürse tamamlayıcı.</t>
  </si>
  <si>
    <t xml:space="preserve">EKA UE</t>
  </si>
  <si>
    <t xml:space="preserve">Bütünleşik depolamadan verilen YEK enerjisi: 125 kuruş, 10 yıl yerli katkı.</t>
  </si>
  <si>
    <t xml:space="preserve">7189 CBK EK-1 (e)</t>
  </si>
  <si>
    <t xml:space="preserve">Lisanssız tesise elektriksel güce kadar bütünleşik depolama.</t>
  </si>
  <si>
    <t xml:space="preserve">EK-3 35.16; vergi indirimi ve faiz yok; Li-ion gümrük muafiyeti yok.</t>
  </si>
  <si>
    <t xml:space="preserve">9903 m.10/2-3, EK-4</t>
  </si>
  <si>
    <t xml:space="preserve">EK-3 35.16; yalnız KDV ve SGK (Li-ion gümrük muafiyeti yok).</t>
  </si>
  <si>
    <t xml:space="preserve">Müstakil depolama tedarik lisansı gerektirir (≥ 2 MW).</t>
  </si>
  <si>
    <t xml:space="preserve">Depolama Yön. m.7</t>
  </si>
  <si>
    <t xml:space="preserve">EK-3 35.12; yalnız KDV, gümrük, SGK.</t>
  </si>
  <si>
    <t xml:space="preserve">9903 m.10</t>
  </si>
  <si>
    <t xml:space="preserve">Rezervuarlı 144, nehir tipi 135 TL kuruş/kWh; pompaj 202 (15 yıl).</t>
  </si>
  <si>
    <t xml:space="preserve">EK-3 35.12 elektrik üretimi; biyogaz gaz üretimi (35.21) EK-3'te yok.</t>
  </si>
  <si>
    <t xml:space="preserve">Çöp gazı 106, biyometanizasyon 173, termal bertaraf 134,9 (koşullu).</t>
  </si>
  <si>
    <t xml:space="preserve">YEK tesisi olarak (h) bendi.</t>
  </si>
  <si>
    <t xml:space="preserve">202 TL kuruş/kWh, 15 yıl.</t>
  </si>
  <si>
    <t xml:space="preserve">YEK kaynaklı ısı (öz tüketim) VAP'ta; geri ödeme ≤ 10 yıl. Satış amaçlı ısı hariç.</t>
  </si>
  <si>
    <t xml:space="preserve">ETKB duyurusu; VAP UE m.6/7-g</t>
  </si>
  <si>
    <t xml:space="preserve">İmalatta yol haritası hedefiyle.</t>
  </si>
  <si>
    <t xml:space="preserve">Bazı illerde 'entegre jeotermal sera' yerel yatırım konusu.</t>
  </si>
  <si>
    <t xml:space="preserve">Yerel Yatırım Konuları Listesi</t>
  </si>
  <si>
    <t xml:space="preserve">Öz tüketim; verim belgesi şart; geri ödeme ≤ 10 yıl.</t>
  </si>
  <si>
    <t xml:space="preserve">VAP UE m.5/1-d; ETKB duyurusu</t>
  </si>
  <si>
    <t xml:space="preserve">Satış amaçlı değilse.</t>
  </si>
  <si>
    <t xml:space="preserve">EPS UE m.6/3-e</t>
  </si>
  <si>
    <t xml:space="preserve">İmalat NACE'si EK-3'teyse modernizasyon; doğalgazlı elektrik üretimi olarak 35.11'e girerse desteklenmez.</t>
  </si>
  <si>
    <t xml:space="preserve">Atık enerji geri kazanımı; geri ödeme ≤ 7 yıl.</t>
  </si>
  <si>
    <t xml:space="preserve">VAP UE; ETKB duyurusu</t>
  </si>
  <si>
    <t xml:space="preserve">ESCO/EPS modeliyle.</t>
  </si>
  <si>
    <t xml:space="preserve">EPS UE</t>
  </si>
  <si>
    <t xml:space="preserve">Enerji tüketimi/sera gazı hedefiyle.</t>
  </si>
  <si>
    <t xml:space="preserve">İmalat NACE'si EK-3'teyse Hedef (vergi %20).</t>
  </si>
  <si>
    <t xml:space="preserve">Tamamlayıcı.</t>
  </si>
  <si>
    <t xml:space="preserve">KOBİ: temiz ve döngüsel ekonomi bileşeni (4 mn TL, %70).</t>
  </si>
  <si>
    <t xml:space="preserve">Atık ısıdan elektrik; geri ödeme ≤ 10 yıl.</t>
  </si>
  <si>
    <t xml:space="preserve">ETKB duyurusu</t>
  </si>
  <si>
    <t xml:space="preserve">Lisanssız kapsamı teyit (atık ısı YEK sayılmaz).</t>
  </si>
  <si>
    <t xml:space="preserve">LÜY m.5</t>
  </si>
  <si>
    <t xml:space="preserve">Enerji/sera gazı hedefiyle.</t>
  </si>
  <si>
    <t xml:space="preserve">Verimlilik projesi; hava kaynaklıda 7 yıl, toprak kaynaklı (jeotermal) 10 yıl olup olmadığı teyit.</t>
  </si>
  <si>
    <t xml:space="preserve">İmalatta proses ısısı elektrifikasyonu.</t>
  </si>
  <si>
    <t xml:space="preserve">KOBİ: temiz ve döngüsel ekonomi bileşeni.</t>
  </si>
  <si>
    <t xml:space="preserve">Çorum: ısı pompası komponentleri üretimi yerel yatırım konusu.</t>
  </si>
  <si>
    <t xml:space="preserve">Proje bedeli &gt; 5 mn TL, geri ödeme ≤ 7 yıl, ISO 50001.</t>
  </si>
  <si>
    <t xml:space="preserve">Yükümlü işletme + ESCO; ≥ 5 mn TL; geri ödeme ≥ 1 yıl.</t>
  </si>
  <si>
    <t xml:space="preserve">EPS UE; duyuru</t>
  </si>
  <si>
    <t xml:space="preserve">İmalat; yol haritası.</t>
  </si>
  <si>
    <t xml:space="preserve">İmalat NACE'si EK-3'teyse; kompresörler gümrük muafiyeti dışı.</t>
  </si>
  <si>
    <t xml:space="preserve">9903 m.10, EK-4</t>
  </si>
  <si>
    <t xml:space="preserve">KOBİ: 4 mn TL, %70.</t>
  </si>
  <si>
    <t xml:space="preserve">Yakıt dönüşümü kapsam dışı.</t>
  </si>
  <si>
    <t xml:space="preserve">VAP UE m.6/7-ç</t>
  </si>
  <si>
    <t xml:space="preserve">EPS UE m.6/3-c</t>
  </si>
  <si>
    <t xml:space="preserve">Birim üretim başına sera gazı hedefiyle olabilir.</t>
  </si>
  <si>
    <t xml:space="preserve">Karbon yoğunluğu azalırsa tamamlayıcı.</t>
  </si>
  <si>
    <t xml:space="preserve">Yeşil hidrojen ve elektrolizör HIT-30 öncelikli konu.</t>
  </si>
  <si>
    <t xml:space="preserve">HIT-30 sektörler</t>
  </si>
  <si>
    <t xml:space="preserve">Çanakkale: yeşil hidrojen ve türevleri yerel yatırım konusu.</t>
  </si>
  <si>
    <t xml:space="preserve">20.11 sanayi gazları EK-3'te (kimyasallar, şartsız).</t>
  </si>
  <si>
    <t xml:space="preserve">9903 EK-3 (20)</t>
  </si>
  <si>
    <t xml:space="preserve">Ar-Ge aşaması için.</t>
  </si>
  <si>
    <t xml:space="preserve">1832 çağrısı</t>
  </si>
  <si>
    <t xml:space="preserve">HIT-Battery (açık), HIT-Wind (açık), HIT-Solar (kapandı).</t>
  </si>
  <si>
    <t xml:space="preserve">Öncelikli ürün listesindeyse THP.</t>
  </si>
  <si>
    <t xml:space="preserve">9903 m.6</t>
  </si>
  <si>
    <t xml:space="preserve">26 (PV: ingot'tan entegre), 27, 28 EK-3'te.</t>
  </si>
  <si>
    <t xml:space="preserve">Yüksek teknoloji ≥ 500 mn / orta-yüksek ≥ 1 mlr TL (2026: 627 mn / 1.255 mn).</t>
  </si>
  <si>
    <t xml:space="preserve">9903 m.9/1-b,c</t>
  </si>
  <si>
    <t xml:space="preserve">EKA yatırım şartı aramaz; referans döneme göre azaltım.</t>
  </si>
  <si>
    <t xml:space="preserve">VAP bir yatırım projesi gerektirir.</t>
  </si>
  <si>
    <t xml:space="preserve">VAP UE m.6/1</t>
  </si>
  <si>
    <t xml:space="preserve">Teşvik belgesi sabit yatırım gerektirir.</t>
  </si>
  <si>
    <t xml:space="preserve">Bölgeye göre değişen kurallar (9903)</t>
  </si>
  <si>
    <t xml:space="preserve">İl sayısı İller sayfasından, asgari tutar Parasal Eşikler 2026 sayfasından formülle gelir.</t>
  </si>
  <si>
    <t xml:space="preserve">Bölge</t>
  </si>
  <si>
    <t xml:space="preserve">İl sayısı</t>
  </si>
  <si>
    <t xml:space="preserve">Asgari sabit yatırım 2026 (TL)</t>
  </si>
  <si>
    <t xml:space="preserve">SGK işveren desteği süresi (yıl)</t>
  </si>
  <si>
    <t xml:space="preserve">SGK işveren desteği oranı</t>
  </si>
  <si>
    <t xml:space="preserve">Sigorta primi işçi hissesi</t>
  </si>
  <si>
    <t xml:space="preserve">Hedef yatırımda faiz</t>
  </si>
  <si>
    <t xml:space="preserve">Alt bölge etkisi (m.22)</t>
  </si>
  <si>
    <t xml:space="preserve">Hayır</t>
  </si>
  <si>
    <t xml:space="preserve">OSB/endüstri bölgesi veya EK-5 ilçesi: bir alt bölgenin SGK süresi; ikisi birden: iki alt bölge. 6. bölgede +2 yıl.</t>
  </si>
  <si>
    <t xml:space="preserve">SGK işveren hissesi desteği yok (TYKH'de 8 yıl).</t>
  </si>
  <si>
    <t xml:space="preserve">9903 m.18, m.19, m.22, m.10/3</t>
  </si>
  <si>
    <t xml:space="preserve">%50</t>
  </si>
  <si>
    <t xml:space="preserve">Evet</t>
  </si>
  <si>
    <t xml:space="preserve">%100</t>
  </si>
  <si>
    <t xml:space="preserve">Evet (10 yıl)</t>
  </si>
  <si>
    <t xml:space="preserve">OSB/EK-5: bölgedeki süreye +2 yıl.</t>
  </si>
  <si>
    <t xml:space="preserve">Müteharrik hariç 6. bölge yatırımları Öncelikli (m.9/1-ç).</t>
  </si>
  <si>
    <t xml:space="preserve">TYKH</t>
  </si>
  <si>
    <t xml:space="preserve">8 (6. bölge 12)</t>
  </si>
  <si>
    <t xml:space="preserve">THP, YKH ve Stratejik Hamle'de SGK desteği bölgeden bağımsız 8 yıl (m.18/3).</t>
  </si>
  <si>
    <t xml:space="preserve">İl katmanı · 81 il</t>
  </si>
  <si>
    <t xml:space="preserve">Bölge: 9903 EK-2 (RG 30.05.2025). Asgari tutar, SGK süresi ve Hedef faizi formülle gelir. Ajans verisi ka.gov.tr; yerel konular RG 31.01.2026 EK-1.</t>
  </si>
  <si>
    <t xml:space="preserve">Plaka</t>
  </si>
  <si>
    <t xml:space="preserve">İl</t>
  </si>
  <si>
    <t xml:space="preserve">Bölge (EK-2)</t>
  </si>
  <si>
    <t xml:space="preserve">SGK işveren süresi (yıl)</t>
  </si>
  <si>
    <t xml:space="preserve">İstanbul istisnası</t>
  </si>
  <si>
    <t xml:space="preserve">Cazibe EK-1 ili (geçici m.4, OSB imalat → 6. bölge, 31.12.2026)</t>
  </si>
  <si>
    <t xml:space="preserve">Deprem ilçeleri (geçici m.3 → 6. bölge, 31.12.2026)</t>
  </si>
  <si>
    <t xml:space="preserve">EK-5 alt bölge ilçeleri (SGK)</t>
  </si>
  <si>
    <t xml:space="preserve">Yerel yatırım konuları (YKH 2026)</t>
  </si>
  <si>
    <t xml:space="preserve">Enerji bağlantılı yerel konu</t>
  </si>
  <si>
    <t xml:space="preserve">Kalkınma ajansı</t>
  </si>
  <si>
    <t xml:space="preserve">Ajans ofisi / YDO</t>
  </si>
  <si>
    <t xml:space="preserve">Telefon</t>
  </si>
  <si>
    <t xml:space="preserve">E-posta</t>
  </si>
  <si>
    <t xml:space="preserve">Web</t>
  </si>
  <si>
    <t xml:space="preserve">Enerjisa dağıtım bölgesi (LÜY m.37/10)</t>
  </si>
  <si>
    <t xml:space="preserve">Etiketler</t>
  </si>
  <si>
    <t xml:space="preserve">Adana</t>
  </si>
  <si>
    <t xml:space="preserve">Aladağ, Feke, İmamoğlu, Karaisalı, Karataş, Pozantı, Saimbeyli, Tufanbeyli, Yumurtalık</t>
  </si>
  <si>
    <t xml:space="preserve">1) Nişasta tabanlı kimyasal türevler ve ileri katma değerli ürünler · 2) Su ürünleri üretimi ve/veya katma değerli işleme · 3) Tarımsal ürün/atıklardan katma değerli ürünler (pamuk hasat atığından biyokömür, kompost dahil) · 4) Temizlik kimyasalları ve yüzey aktif maddeler</t>
  </si>
  <si>
    <t xml:space="preserve">Tarımsal ürün/atıklardan katma değerli ürünler (pamuk hasat atığından biyokömür, kompost dahil)</t>
  </si>
  <si>
    <t xml:space="preserve">Çukurova Kalkınma Ajansı</t>
  </si>
  <si>
    <t xml:space="preserve">Adana Merkez Ofis</t>
  </si>
  <si>
    <t xml:space="preserve">+90 322 363 00 39</t>
  </si>
  <si>
    <t xml:space="preserve">https://www.cka.gov.tr/</t>
  </si>
  <si>
    <t xml:space="preserve">Toroslar EDAŞ</t>
  </si>
  <si>
    <t xml:space="preserve">Bölge, EK-5, Cazibe, deprem: Mevzuat · YKH: Mevzuat · Ajans: Duyuru · Enerjisa sütunu: Teyit edilecek · Enerji bağlantısı: Yorum</t>
  </si>
  <si>
    <t xml:space="preserve">Adıyaman</t>
  </si>
  <si>
    <t xml:space="preserve">Besni, Çelikhan, Gerger, Gölbaşı, Kahta, Merkez, Samsat, Sincik, Tut</t>
  </si>
  <si>
    <t xml:space="preserve">1) Asgari 300 büyükbaş entegre et/süt hayvancılığı · 2) Badem işleme ve katma değerli badem mamulleri · 3) Dört yıldız ve üzeri konaklama tesisi · 4) Su ürünleri üretimi ve/veya katma değerli işleme</t>
  </si>
  <si>
    <t xml:space="preserve">İpek Yolu Kalkınma Ajansı</t>
  </si>
  <si>
    <t xml:space="preserve">Adıyaman Yatırım Destek Ofisi</t>
  </si>
  <si>
    <t xml:space="preserve">+90 416 213 14 44</t>
  </si>
  <si>
    <t xml:space="preserve">https://www.ika.org.tr/</t>
  </si>
  <si>
    <t xml:space="preserve">Afyonkarahisar</t>
  </si>
  <si>
    <t xml:space="preserve">Bayat, Çobanlar, Evciler, Hocalar, İhsaniye, Kızılören, Sinanpaşa</t>
  </si>
  <si>
    <t xml:space="preserve">1) Asgari 300 baş manda yetiştiriciliği ve/veya manda ürünleri entegre tesis · 2) Jeotermal kaynaklar ile su ürünleri yetiştiriciliği · 3) Kesimhane artıklarından katma değerli ürün · 4) Mermer atıklarından yüksek katma değerli ürün</t>
  </si>
  <si>
    <t xml:space="preserve">Jeotermal kaynaklar ile su ürünleri yetiştiriciliği</t>
  </si>
  <si>
    <t xml:space="preserve">Zafer Kalkınma Ajansı</t>
  </si>
  <si>
    <t xml:space="preserve">Afyonkarahisar Yatırım Destek Ofisi</t>
  </si>
  <si>
    <t xml:space="preserve">afyonkarahisarydo@zafer.gov.tr</t>
  </si>
  <si>
    <t xml:space="preserve">https://zafer.gov.tr/</t>
  </si>
  <si>
    <t xml:space="preserve">Ağrı</t>
  </si>
  <si>
    <t xml:space="preserve">1) Alternatif turizm yatırımları (termal konaklama vb.) · 2) Asgari 1.000 küçükbaş entegre et/süt hayvancılığı · 3) Asgari 15 dekar entegre jeotermal sera tesisi · 4) Asgari 300 büyükbaş entegre et/süt hayvancılığı</t>
  </si>
  <si>
    <t xml:space="preserve">Asgari 15 dekar entegre jeotermal sera tesisi</t>
  </si>
  <si>
    <t xml:space="preserve">Serhat Kalkınma Ajansı</t>
  </si>
  <si>
    <t xml:space="preserve">Ağrı Yatırım Destek Ofisi</t>
  </si>
  <si>
    <t xml:space="preserve">agriyatirimdestekofisi@serka.gov.tr</t>
  </si>
  <si>
    <t xml:space="preserve">https://www.serka.gov.tr/</t>
  </si>
  <si>
    <t xml:space="preserve">Amasya</t>
  </si>
  <si>
    <t xml:space="preserve">Göynücek, Hamamözü</t>
  </si>
  <si>
    <t xml:space="preserve">1) Asgari 20 dekar entegre jeotermal sera tesisi · 2) Asgari 500 büyükbaş entegre et/süt hayvancılığı · 3) İşlenmiş ve/veya dondurulmuş katma değerli et ürünleri · 4) Yaşlı bakım merkezi</t>
  </si>
  <si>
    <t xml:space="preserve">Asgari 20 dekar entegre jeotermal sera tesisi</t>
  </si>
  <si>
    <t xml:space="preserve">Orta Karadeniz Kalkınma Ajansı</t>
  </si>
  <si>
    <t xml:space="preserve">Amasya Yatırım Destek Ofisi</t>
  </si>
  <si>
    <t xml:space="preserve">+90 358 212 69 66</t>
  </si>
  <si>
    <t xml:space="preserve">info@investamasya.com</t>
  </si>
  <si>
    <t xml:space="preserve">https://www.oka.gov.tr/</t>
  </si>
  <si>
    <t xml:space="preserve">Ankara</t>
  </si>
  <si>
    <t xml:space="preserve">Bala, Çamlıdere, Evren, Güdül, Haymana, Kalecik</t>
  </si>
  <si>
    <t xml:space="preserve">1) Asgari 1.000 baş entegre tiftik keçisi yetiştiriciliği ve ürünleri · 2) Kırsal ilçelerde alternatif turizm yatırımları · 3) Tıbbi cihaz üretimi · 4) Toz metalurjisi, toz metalden ürün ve makine üretimi</t>
  </si>
  <si>
    <t xml:space="preserve">Ankara Kalkınma Ajansı</t>
  </si>
  <si>
    <t xml:space="preserve">Ankara Merkez Ofis</t>
  </si>
  <si>
    <t xml:space="preserve">+90 312 310 03 00</t>
  </si>
  <si>
    <t xml:space="preserve">bilgi@ankaraka.org.tr</t>
  </si>
  <si>
    <t xml:space="preserve">https://www.ankaraka.org.tr//</t>
  </si>
  <si>
    <t xml:space="preserve">Başkent EDAŞ</t>
  </si>
  <si>
    <t xml:space="preserve">Antalya</t>
  </si>
  <si>
    <t xml:space="preserve">Akseki, Gündoğmuş, İbradı</t>
  </si>
  <si>
    <t xml:space="preserve">1) Tıbbi ve aromatik bitkilerden katma değerli ürün · 2) Örtüaltı ve dikey tarım yüksek teknolojili ürün ve aksamları (düşük karbonlu ısıtma dahil) · 3) Simgesel mimari ve nitelikli kültür endüstrileri · 4) Spor/sağlık turizmi yatırımları</t>
  </si>
  <si>
    <t xml:space="preserve">Örtüaltı ve dikey tarım yüksek teknolojili ürün ve aksamları (düşük karbonlu ısıtma dahil)</t>
  </si>
  <si>
    <t xml:space="preserve">Batı Akdeniz Kalkınma Ajansı</t>
  </si>
  <si>
    <t xml:space="preserve">Antalya Investment Support Office</t>
  </si>
  <si>
    <t xml:space="preserve">+90 242 332 37 37</t>
  </si>
  <si>
    <t xml:space="preserve">antalyaydo@baka.gov.tr</t>
  </si>
  <si>
    <t xml:space="preserve">https://www.baka.gov.tr/</t>
  </si>
  <si>
    <t xml:space="preserve">Artvin</t>
  </si>
  <si>
    <t xml:space="preserve">1) Ağaç ve orman ürünlerinden katma değerli ürün · 2) Doğa temelli turizm yatırımları · 3) Su ürünleri üretimi ve/veya katma değerli işleme · 4) Tıbbi ve aromatik bitkilerden katma değerli ürün</t>
  </si>
  <si>
    <t xml:space="preserve">Doğu Karadeniz Kalkınma Ajansı</t>
  </si>
  <si>
    <t xml:space="preserve">Artvin Yatırım Destek Ofisi</t>
  </si>
  <si>
    <t xml:space="preserve">+90 462 455 40 74</t>
  </si>
  <si>
    <t xml:space="preserve">https://www.doka.org.tr/</t>
  </si>
  <si>
    <t xml:space="preserve">Aydın</t>
  </si>
  <si>
    <t xml:space="preserve">Bozdoğan, Buharkent, Germencik, Karacasu, Karpuzlu, Koçarlı, Köşk, Kuyucak, Sultanhisar, Yenipazar</t>
  </si>
  <si>
    <t xml:space="preserve">1) Akıllı tarım teknolojileri, makine, ekipman ve aksamları · 2) Alternatif turizm yatırımları (termal konaklama vb.) · 3) Tarımsal ürünlerden katma değerli ürün · 4) Yüksek ekonomik değerli endüstriyel süt ürünleri</t>
  </si>
  <si>
    <t xml:space="preserve">Güney Ege Kalkınma Ajansı</t>
  </si>
  <si>
    <t xml:space="preserve">Aydın Yatırım Destek Ofisi</t>
  </si>
  <si>
    <t xml:space="preserve">+90 256 211 0 216</t>
  </si>
  <si>
    <t xml:space="preserve">aydin@geka.gov.tr</t>
  </si>
  <si>
    <t xml:space="preserve">https://geka.gov.tr/</t>
  </si>
  <si>
    <t xml:space="preserve">Balıkesir</t>
  </si>
  <si>
    <t xml:space="preserve">Balya, Dursunbey, Havran, İvrindi, Kepsut, Manyas, Savaştepe, Sındırgı</t>
  </si>
  <si>
    <t xml:space="preserve">1) Asgari 20 dekar entegre jeotermal sera tesisi · 2) Entegre kırmızı et işleme ve katma değerli ürün · 3) Termal turizm konseptli konaklama ve kongre merkezi · 4) Zeytinyağı lisanslı depo</t>
  </si>
  <si>
    <t xml:space="preserve">Güney Marmara Kalkınma Ajansı</t>
  </si>
  <si>
    <t xml:space="preserve">Balıkesir Merkez Ofis</t>
  </si>
  <si>
    <t xml:space="preserve">+90 266 246 10 00</t>
  </si>
  <si>
    <t xml:space="preserve">https://www.gmka.gov.tr/</t>
  </si>
  <si>
    <t xml:space="preserve">Bilecik</t>
  </si>
  <si>
    <t xml:space="preserve">Gölpazarı, İnhisar, Pazaryeri, Yenipazar</t>
  </si>
  <si>
    <t xml:space="preserve">1) Asgari 1.000 küçükbaş entegre et/süt hayvancılığı · 2) Mermer atıklarından yüksek katma değerli ürün · 3) Meyve/sebze ve atıklarından katma değerli ürün · 4) Teknik seramik ürünleri (ileri seramik, alümina, zirkonya, silisyum karbür)</t>
  </si>
  <si>
    <t xml:space="preserve">Bursa Eskişehir Bilecik Kalkınma Ajansı</t>
  </si>
  <si>
    <t xml:space="preserve">Bilecik Yatırım Destek Ofisi</t>
  </si>
  <si>
    <t xml:space="preserve">https://www.bebka.org.tr/</t>
  </si>
  <si>
    <t xml:space="preserve">Bingöl</t>
  </si>
  <si>
    <t xml:space="preserve">1) Asgari 300 büyükbaş entegre et/süt hayvancılığı · 2) Dört yıldız ve üzeri termal konaklama tesisi · 3) Entegre bal ve arı ürünleri · 4) Su ürünleri üretimi ve/veya katma değerli işleme</t>
  </si>
  <si>
    <t xml:space="preserve">Fırat Kalkınma Ajansı</t>
  </si>
  <si>
    <t xml:space="preserve">Bingöl Yatırım Destek Ofisi</t>
  </si>
  <si>
    <t xml:space="preserve">+90 426 213 57 55</t>
  </si>
  <si>
    <t xml:space="preserve">bingolydo@fka.gov.tr</t>
  </si>
  <si>
    <t xml:space="preserve">https://fka.gov.tr//</t>
  </si>
  <si>
    <t xml:space="preserve">Bitlis</t>
  </si>
  <si>
    <t xml:space="preserve">1) Doğal taş işleme ve katma değerli ürün (Ahlat taşı vb.) · 2) Dört yıldız ve üzeri konaklama tesisi · 3) Endüstriyel metal teknolojilerine yönelik katma değerli ürün · 4) Meyve ve sebzeden katma değerli ürün</t>
  </si>
  <si>
    <t xml:space="preserve">Doğu Anadolu Kalkınma Ajansı</t>
  </si>
  <si>
    <t xml:space="preserve">Bitlis Yatırım Destek Ofisi</t>
  </si>
  <si>
    <t xml:space="preserve">+90 434 226 66 48</t>
  </si>
  <si>
    <t xml:space="preserve">https://daka.gov.tr//</t>
  </si>
  <si>
    <t xml:space="preserve">Bolu</t>
  </si>
  <si>
    <t xml:space="preserve">Dörtdivan, Göynük, Kıbrıscık, Mengen, Mudurnu, Seben</t>
  </si>
  <si>
    <t xml:space="preserve">1) Ağaç ve orman ürünlerinden katma değerli ürün · 2) Deri ve deri atıklarından katma değerli ürün · 3) Doğa temelli turizm yatırımları · 4) Makine ve makine yedek parça üretimi</t>
  </si>
  <si>
    <t xml:space="preserve">Doğu Marmara Kalkınma Ajansı</t>
  </si>
  <si>
    <t xml:space="preserve">Bolu Yatırım Destek Ofisi</t>
  </si>
  <si>
    <t xml:space="preserve">http://www.marka.org.tr/</t>
  </si>
  <si>
    <t xml:space="preserve">Burdur</t>
  </si>
  <si>
    <t xml:space="preserve">Ağlasun, Altınyayla, Çavdır, Çeltikçi, Kemer, Tefenni, Yeşilova</t>
  </si>
  <si>
    <t xml:space="preserve">1) Ağaç ve orman ürünlerinden katma değerli ürün · 2) Asgari 1.000 baş yüksek genetikli entegre damızlık büyükbaş · 3) Mermer atıklarından yüksek katma değerli ürün · 4) Yüksek ekonomik değerli endüstriyel süt ürünleri</t>
  </si>
  <si>
    <t xml:space="preserve">Burdur Investment Support Office</t>
  </si>
  <si>
    <t xml:space="preserve">+90 248 234 05 50</t>
  </si>
  <si>
    <t xml:space="preserve">burdurydo@baka.gov.tr</t>
  </si>
  <si>
    <t xml:space="preserve">Bursa</t>
  </si>
  <si>
    <t xml:space="preserve">Büyükorhan, Harmancık, Keles, Orhaneli</t>
  </si>
  <si>
    <t xml:space="preserve">1) Havacılık ve savunma sanayiine yönelik alt sistem bileşenleri · 2) Kauçuktan yüksek katma değerli ürün · 3) Taşıtlarda soğutma sistemi parçaları (devirdaim pompası, ısı eşanjörü vb.) · 4) Yüksek katma değerli teknik tekstil ve fonksiyonel kumaş</t>
  </si>
  <si>
    <t xml:space="preserve">Bursa Merkez Ofis</t>
  </si>
  <si>
    <t xml:space="preserve">bebka@bebka.org.tr</t>
  </si>
  <si>
    <t xml:space="preserve">Çanakkale</t>
  </si>
  <si>
    <t xml:space="preserve">Bayramiç, Yenice</t>
  </si>
  <si>
    <t xml:space="preserve">1) Ağaç ve orman ürünlerinden katma değerli ürün · 2) Asgari 2.000 küçükbaş entegre süt hayvancılığı · 3) Yeşil hidrojen ve türevleri üretimi (sıvı hidrojen, yeşil amonyak, yeşil metanol vb.) · 4) Zeytin ve atıklarından katma değerli ürün</t>
  </si>
  <si>
    <t xml:space="preserve">Yeşil hidrojen ve türevleri üretimi (sıvı hidrojen, yeşil amonyak, yeşil metanol vb.)</t>
  </si>
  <si>
    <t xml:space="preserve">Çanakkale Yatırım Destek Ofisi</t>
  </si>
  <si>
    <t xml:space="preserve">+90 286 211 00 81</t>
  </si>
  <si>
    <t xml:space="preserve">Çankırı</t>
  </si>
  <si>
    <t xml:space="preserve">Bayramören, Yapraklı</t>
  </si>
  <si>
    <t xml:space="preserve">1) Dört yıldız ve üzeri konaklama tesisi · 2) Ambalajlı doğal kaynak suyu/içecek üretimi · 3) Leonardit, diyatomit, bazalt, perlit vb. endüstriyel minerallerden katma değerli ürün · 4) Otomotiv endüstrisi için aksam ve yedek parça</t>
  </si>
  <si>
    <t xml:space="preserve">Kuzey Anadolu Kalkınma Ajansı</t>
  </si>
  <si>
    <t xml:space="preserve">Çankırı Merkez Ofis</t>
  </si>
  <si>
    <t xml:space="preserve">+90 376 213 79 88</t>
  </si>
  <si>
    <t xml:space="preserve">cankiriydo@kuzka.gov.tr</t>
  </si>
  <si>
    <t xml:space="preserve">https://www.kuzka.gov.tr/</t>
  </si>
  <si>
    <t xml:space="preserve">Çorum</t>
  </si>
  <si>
    <t xml:space="preserve">Bayat, Boğazkale, Dodurga, Kargı, Laçin, Mecitözü, Oğuzlar, Ortaköy, Uğurludağ</t>
  </si>
  <si>
    <t xml:space="preserve">1) Alaşımlı döküm ve sıcak dövme parçalar · 2) Mühimmat kimyasalları, gövdeleri ve alt sistem parçaları · 3) Orta-yüksek teknoloji iklimlendirme, havalandırma ve ısı transferi teknolojileri (ısı pompası komponentleri, HVAC bileşenleri) · 4) Orta-yüksek teknoloji makine üretimi</t>
  </si>
  <si>
    <t xml:space="preserve">Orta-yüksek teknoloji iklimlendirme, havalandırma ve ısı transferi teknolojileri (ısı pompası komponentleri, HVAC bileşenleri)</t>
  </si>
  <si>
    <t xml:space="preserve">Çorum Yatırım Destek Ofisi</t>
  </si>
  <si>
    <t xml:space="preserve">+90 364 225 74 70</t>
  </si>
  <si>
    <t xml:space="preserve">info@investcorum.com</t>
  </si>
  <si>
    <t xml:space="preserve">Denizli</t>
  </si>
  <si>
    <t xml:space="preserve">Babadağ, Baklan, Bekilli, Beyağaç, Bozkurt, Çal, Çameli, Çardak, Güney, Kale</t>
  </si>
  <si>
    <t xml:space="preserve">1) Doğa temelli turizm yatırımları · 2) Orta-yüksek teknoloji makine ve otomasyon sistemleri ile yedek parça · 3) Yüksek katma değerli teknik tekstil ve fonksiyonel kumaş · 4) Yüksek katma değerli tel ve kablo (YG/enerji iletim, yenilenebilir enerji, güneş/rüzgâr, EV şarj kabloları dahil)</t>
  </si>
  <si>
    <t xml:space="preserve">Yüksek katma değerli tel ve kablo (YG/enerji iletim, yenilenebilir enerji, güneş/rüzgâr, EV şarj kabloları dahil)</t>
  </si>
  <si>
    <t xml:space="preserve">Denizli Merkez Ofis</t>
  </si>
  <si>
    <t xml:space="preserve">+90 258 371 88 44</t>
  </si>
  <si>
    <t xml:space="preserve">info@geka.gov.tr</t>
  </si>
  <si>
    <t xml:space="preserve">Diyarbakır</t>
  </si>
  <si>
    <t xml:space="preserve">1) Alüminyumdan katma değerli ürün · 2) Bitkisel girdilerden katma değerli endüstriyel ürün · 3) Paketli hazır gıda · 4) Tekstil yan sanayi ve ileri/geri bağlantılı ürünler</t>
  </si>
  <si>
    <t xml:space="preserve">Karacadağ Kalkınma Ajansı</t>
  </si>
  <si>
    <t xml:space="preserve">Diyarbakır Merkez Ofis</t>
  </si>
  <si>
    <t xml:space="preserve">+90 412 237 12 16</t>
  </si>
  <si>
    <t xml:space="preserve">dbakirydo@karacadag.gov.tr</t>
  </si>
  <si>
    <t xml:space="preserve">https://www.karacadag.gov.tr/</t>
  </si>
  <si>
    <t xml:space="preserve">Edirne</t>
  </si>
  <si>
    <t xml:space="preserve">Enez, Havsa, İpsala, Lalapaşa, Meriç, Süloğlu</t>
  </si>
  <si>
    <t xml:space="preserve">1) Asgari 500 büyükbaş entegre et/süt hayvancılığı · 2) Akıllı tarım teknolojileri, makine, ekipman ve aksamları · 3) Ses ve ısı izolasyonu sağlayan katma değerli malzemeler (taş yünü, cüruf yünü vb.) · 4) Tahıl ürünlerinden yüksek katma değerli ürün</t>
  </si>
  <si>
    <t xml:space="preserve">Ses ve ısı izolasyonu sağlayan katma değerli malzemeler (taş yünü, cüruf yünü vb.)</t>
  </si>
  <si>
    <t xml:space="preserve">Trakya Kalkınma Ajansı</t>
  </si>
  <si>
    <t xml:space="preserve">Edirne Yatırım Destek Ofisi</t>
  </si>
  <si>
    <t xml:space="preserve">https://www.trakyaka.org.tr/</t>
  </si>
  <si>
    <t xml:space="preserve">Elazığ</t>
  </si>
  <si>
    <t xml:space="preserve">Alacakaya, Arıcak, Baskil, Karakoçan, Keban, Kovancılar, Maden, Palu, Sivrice</t>
  </si>
  <si>
    <t xml:space="preserve">Ağın</t>
  </si>
  <si>
    <t xml:space="preserve">1) Asgari 1.000 büyükbaş entegre et/süt hayvancılığı · 2) Entegre su ürünleri üretimi ve/veya işleme · 3) Hazar Gölü dört yıldız ve üzeri konaklama tesisi · 4) Üzüm ve üzüm atık/yan ürünlerinden katma değerli ürün</t>
  </si>
  <si>
    <t xml:space="preserve">Elazığ Yatırım Destek Ofisi</t>
  </si>
  <si>
    <t xml:space="preserve">+90 424 237 22 01</t>
  </si>
  <si>
    <t xml:space="preserve">elazigydo@fka.gov.tr</t>
  </si>
  <si>
    <t xml:space="preserve">Erzincan</t>
  </si>
  <si>
    <t xml:space="preserve">Çayırlı, Kemah, Otlukbeli, Tercan, Üzümlü</t>
  </si>
  <si>
    <t xml:space="preserve">1) Alternatif turizm yatırımları · 2) Ambalajlı doğal kaynak suyu/içecek veya içecek yan sanayi · 3) Meyve ve sebzeden katma değerli ürün · 4) Yapı malzemeleri ve yapı kimyasalları (ısı-ses yalıtım ürünleri dahil)</t>
  </si>
  <si>
    <t xml:space="preserve">Yapı malzemeleri ve yapı kimyasalları (ısı-ses yalıtım ürünleri dahil)</t>
  </si>
  <si>
    <t xml:space="preserve">Kuzey Doğu Anadolu Kalkınma Ajansı</t>
  </si>
  <si>
    <t xml:space="preserve">Erzincan Yatırım Destek Ofisi</t>
  </si>
  <si>
    <t xml:space="preserve">+90 446 223 50 05</t>
  </si>
  <si>
    <t xml:space="preserve">erzincanydo@kudaka.gov.tr</t>
  </si>
  <si>
    <t xml:space="preserve">https://www.kudaka.org.tr/</t>
  </si>
  <si>
    <t xml:space="preserve">Erzurum</t>
  </si>
  <si>
    <t xml:space="preserve">Çat, Hınıs, Karaçoban, Karayazı, Köprüköy, Şenkaya, Tekman</t>
  </si>
  <si>
    <t xml:space="preserve">1) Asgari 500 büyükbaş entegre et/süt hayvancılığı · 2) Asgari 100 yataklı özel hastane · 3) Deri ve deri atıklarından katma değerli ürün · 4) Madenlerin zenginleştirilmesi ve katma değerli endüstriyel ürün</t>
  </si>
  <si>
    <t xml:space="preserve">Erzurum Merkez Ofis</t>
  </si>
  <si>
    <t xml:space="preserve">+90 442 235 61 11</t>
  </si>
  <si>
    <t xml:space="preserve">info@kudaka.gov.tr</t>
  </si>
  <si>
    <t xml:space="preserve">Eskişehir</t>
  </si>
  <si>
    <t xml:space="preserve">Alpu, Beylikova, Çifteler, Günyüzü, Han, Mahmudiye, Mihalgazi, Mihalıççık, Sarıcakaya, Seyitgazi</t>
  </si>
  <si>
    <t xml:space="preserve">1) Elektrikli ev aletlerine yönelik endüstriyel metal şekillendirme ve parça · 2) Havacılık sektörüne yönelik parça üretimi ve işlenmesi · 3) Raylı taşımacılık araç parçaları veya test-belgelendirme merkezi · 4) Tarım makineleri aksam ve parçaları</t>
  </si>
  <si>
    <t xml:space="preserve">Eskişehir Yatırım Destek Ofisi</t>
  </si>
  <si>
    <t xml:space="preserve">Gaziantep</t>
  </si>
  <si>
    <t xml:space="preserve">Araban, İslahiye, Nurdağı</t>
  </si>
  <si>
    <t xml:space="preserve">Karkamış, Oğuzeli, Yavuzeli</t>
  </si>
  <si>
    <t xml:space="preserve">1) Çevre dostu ambalaj ürünleri (biyobozunur) · 2) Gıda, kimya vb. sektörlere yönelik yüksek nitelikli girdi · 3) Orta-yüksek teknoloji makine ve mekanik sistemler · 4) Yüksek katma değerli teknik tekstil ve fonksiyonel kumaş</t>
  </si>
  <si>
    <t xml:space="preserve">Gaziantep Merkez Ofis</t>
  </si>
  <si>
    <t xml:space="preserve">+90 342 231 07 01</t>
  </si>
  <si>
    <t xml:space="preserve">Giresun</t>
  </si>
  <si>
    <t xml:space="preserve">Çamoluk</t>
  </si>
  <si>
    <t xml:space="preserve">1) Doğa temelli turizm yatırımları · 2) Fındık ve yan ürünlerinden katma değerli ürün · 3) Kaldırma ve taşıma ekipmanları · 4) Su ürünleri üretimi ve/veya katma değerli işleme</t>
  </si>
  <si>
    <t xml:space="preserve">Giresun Yatırım Destek Ofisi</t>
  </si>
  <si>
    <t xml:space="preserve">+90 462 455 40 73</t>
  </si>
  <si>
    <t xml:space="preserve">Gümüşhane</t>
  </si>
  <si>
    <t xml:space="preserve">1) Doğa temelli turizm yatırımları · 2) Feldspat, bakır, kurşun, çinko vb. maden işleme veya zenginleştirme · 3) Fonksiyonel ve katma değerli gıda · 4) Su ürünleri üretimi ve/veya katma değerli işleme</t>
  </si>
  <si>
    <t xml:space="preserve">Gümüşhane Yatırım Destek Ofisi</t>
  </si>
  <si>
    <t xml:space="preserve">+90 462 455 40 72</t>
  </si>
  <si>
    <t xml:space="preserve">Hakkâri</t>
  </si>
  <si>
    <t xml:space="preserve">1) Asgari 100.000 adet entegre yumurta tavukçuluğu · 2) Asgari 20.000 m² alışveriş merkezi · 3) Çinko ve kurşun madenlerinin işlenmesi · 4) Ambalajlı doğal kaynak suyu/içecek üretimi</t>
  </si>
  <si>
    <t xml:space="preserve">Hakkari Yatırım Destek Ofisi</t>
  </si>
  <si>
    <t xml:space="preserve">+90 438 211 00 44</t>
  </si>
  <si>
    <t xml:space="preserve">Hatay</t>
  </si>
  <si>
    <t xml:space="preserve">Altınözü, Antakya, Arsuz, Belen, Defne, Dörtyol, Erzin, Hassa, İskenderun, Kırıkhan, Kumlu, Payas, Reyhanlı, Samandağ, Yayladağı</t>
  </si>
  <si>
    <t xml:space="preserve">1) Ayakkabı yan sanayi ve ileri-geri bağlantılı ürünler · 2) Mobilya yan sanayi ve ileri-geri bağlantılı katma değerli ürünler · 3) Sanayide kullanılan ileri metal malzemeler işleme ve üretim · 4) Su ürünleri üretimi ve/veya katma değerli işleme</t>
  </si>
  <si>
    <t xml:space="preserve">Doğu Akdeniz Kalkınma Ajansı</t>
  </si>
  <si>
    <t xml:space="preserve">Hatay Merkez Ofis</t>
  </si>
  <si>
    <t xml:space="preserve">+90 326 212 25 76</t>
  </si>
  <si>
    <t xml:space="preserve">hydo@dogaka.gov.tr</t>
  </si>
  <si>
    <t xml:space="preserve">https://www.dogaka.gov.tr/</t>
  </si>
  <si>
    <t xml:space="preserve">Isparta</t>
  </si>
  <si>
    <t xml:space="preserve">Aksu, Atabey, Gelendost, Senirkent, Sütçüler, Şarkikaraağaç, Yenişarbademli</t>
  </si>
  <si>
    <t xml:space="preserve">1) Gül ve tıbbi aromatik bitki özlerinden katma değerli kozmetik ve gıda takviyesi · 2) Mantar kompostu ve/veya entegre mantar işleme · 3) Meyve ve atıklarından katma değerli ürün · 4) Akıllı tarım teknolojileri, makine, ekipman ve aksamları</t>
  </si>
  <si>
    <t xml:space="preserve">Isparta Central Office</t>
  </si>
  <si>
    <t xml:space="preserve">+90 246 224 37 37</t>
  </si>
  <si>
    <t xml:space="preserve">info@baka.gov.tr</t>
  </si>
  <si>
    <t xml:space="preserve">Mersin</t>
  </si>
  <si>
    <t xml:space="preserve">Aydıncık, Bozyazı, Çamlıyayla, Gülnar, Mut</t>
  </si>
  <si>
    <t xml:space="preserve">1) Bakliyattan katma değerli ürün · 2) Savunma sanayii metal yapısal parça, mekanik ve yapısal alt sistem · 3) Tarımsal ürün ve/veya atıklarından katma değerli ürün (biyokömür dahil) · 4) Teknolojik tarım makineleri, modern ve akıllı sera sistemleri ve entegre ekipmanlar</t>
  </si>
  <si>
    <t xml:space="preserve">Tarımsal ürün ve/veya atıklarından katma değerli ürün (biyokömür dahil)</t>
  </si>
  <si>
    <t xml:space="preserve">Mersin Yatırım Destek Ofisi</t>
  </si>
  <si>
    <t xml:space="preserve">+90 324 237 80 86</t>
  </si>
  <si>
    <t xml:space="preserve">1) Asgari 10.000 m² girişimcilik ekosistemi ortak hizmet alanı · 2) Dikey tarım ve akıllı tarım yatırımları · 3) Nitelikli kültür endüstrileri yatırımları · 4) Tasarım, kreatif üretim, döngüsel üretim atölyeleri</t>
  </si>
  <si>
    <t xml:space="preserve">İstanbul Kalkınma Ajansı</t>
  </si>
  <si>
    <t xml:space="preserve">İstanbul Merkez Ofis</t>
  </si>
  <si>
    <t xml:space="preserve">+90 212 468 34 00</t>
  </si>
  <si>
    <t xml:space="preserve">iletisim@istka.org.tr</t>
  </si>
  <si>
    <t xml:space="preserve">https://www.istka.org.tr/</t>
  </si>
  <si>
    <t xml:space="preserve">AYEDAŞ (yalnız Anadolu yakası)</t>
  </si>
  <si>
    <t xml:space="preserve">İzmir</t>
  </si>
  <si>
    <t xml:space="preserve">Bayındır, Beydağ, Kınık, Kiraz</t>
  </si>
  <si>
    <t xml:space="preserve">1) Aktarma elemanları (rulman, dişli, mil, kaplin vb.) · 2) Deniz ürünleri kaynaklı fonksiyonel gıda · 3) Küçük Menderes Havzası ilçelerinde doğa temelli turizm · 4) Nitelikli kültür endüstrisi yatırımları</t>
  </si>
  <si>
    <t xml:space="preserve">İzmir Kalkınma Ajansı</t>
  </si>
  <si>
    <t xml:space="preserve">İzmir Merkez Ofis</t>
  </si>
  <si>
    <t xml:space="preserve">+90 232 489 81 81</t>
  </si>
  <si>
    <t xml:space="preserve">https://izka.org.tr/</t>
  </si>
  <si>
    <t xml:space="preserve">Kars</t>
  </si>
  <si>
    <t xml:space="preserve">1) Asgari 300 büyükbaş entegre et/süt hayvancılığı · 2) Dört yıldız ve üzeri konaklama tesisi · 3) Entegre kaz yetiştiriciliği ve ürünleri işleme · 4) Kavılca buğdayından dondurulmuş unlu mamul</t>
  </si>
  <si>
    <t xml:space="preserve">Kars Merkez Ofis</t>
  </si>
  <si>
    <t xml:space="preserve">+90 474 212 52 00</t>
  </si>
  <si>
    <t xml:space="preserve">info@serka.gov.tr</t>
  </si>
  <si>
    <t xml:space="preserve">Kastamonu</t>
  </si>
  <si>
    <t xml:space="preserve">Ağlı, Araç, Cide, Doğanyurt, Küre, Pınarbaşı, Şenpazar</t>
  </si>
  <si>
    <t xml:space="preserve">1) Ağaç ve orman ürünlerinden katma değerli ürün · 2) Doğa temelli turizm yatırımları · 3) Entegre mermer işleme ve mermerden katma değerli ürün · 4) Tarımsal ürünlerden katma değerli ürün</t>
  </si>
  <si>
    <t xml:space="preserve">Kastamonu Yatırım Destek Ofisi</t>
  </si>
  <si>
    <t xml:space="preserve">+90 366 212 58 52</t>
  </si>
  <si>
    <t xml:space="preserve">kastamonuydo@kuzka.gov.tr</t>
  </si>
  <si>
    <t xml:space="preserve">Kayseri</t>
  </si>
  <si>
    <t xml:space="preserve">Akkışla, Bünyan, Felahiye, İncesu, Özvatan, Pınarbaşı, Sarıoğlan, Sarız, Tomarza, Yahyalı, Yeşilhisar</t>
  </si>
  <si>
    <t xml:space="preserve">1) Elektrikli ev aletleri veya ölçüm cihazlarında kullanılan yüksek katma değerli ürünler · 2) Mobilya yan sanayi ve ileri-geri bağlantılı ürünler · 3) Sivil havacılık ürünleri veya bakım merkezi · 4) Tıbbi cihaz üretimi</t>
  </si>
  <si>
    <t xml:space="preserve">Orta Anadolu Kalkınma Ajansı</t>
  </si>
  <si>
    <t xml:space="preserve">Kayseri Merkez Ofis</t>
  </si>
  <si>
    <t xml:space="preserve">+90 352 352 67 26</t>
  </si>
  <si>
    <t xml:space="preserve">https://www.oran.gov.tr/</t>
  </si>
  <si>
    <t xml:space="preserve">Kırklareli</t>
  </si>
  <si>
    <t xml:space="preserve">Demirköy, Kofçaz, Pehlivanköy</t>
  </si>
  <si>
    <t xml:space="preserve">1) Asgari 500 büyükbaş entegre et/süt hayvancılığı · 2) Katma değerli ağaç ve orman ürünleri ile modüler mobilya (pelet dahil) · 3) Üzüm ve üzüm atık/yan ürünlerinden katma değerli ürün · 4) Yüksek ekonomik değerli endüstriyel süt ürünleri</t>
  </si>
  <si>
    <t xml:space="preserve">Katma değerli ağaç ve orman ürünleri ile modüler mobilya (pelet dahil)</t>
  </si>
  <si>
    <t xml:space="preserve">Kırklareli Yatırım Destek Ofisi</t>
  </si>
  <si>
    <t xml:space="preserve">+90 288 214 25 25</t>
  </si>
  <si>
    <t xml:space="preserve">Kırşehir</t>
  </si>
  <si>
    <t xml:space="preserve">Akçakent, Akpınar, Boztepe, Çiçekdağı</t>
  </si>
  <si>
    <t xml:space="preserve">1) Asgari 20 dekar entegre jeotermal sera tesisi · 2) Dört yıldız ve üzeri termal konaklama tesisi · 3) Tahıl veya bakliyattan katma değerli gıda · 4) Yem katkı maddeleri ve fonksiyonel besleme bileşenleri</t>
  </si>
  <si>
    <t xml:space="preserve">Ahiler Kalkınma Ajansı</t>
  </si>
  <si>
    <t xml:space="preserve">Kırşehir Yatırım Destek Ofisi</t>
  </si>
  <si>
    <t xml:space="preserve">+90 386 212 70 90</t>
  </si>
  <si>
    <t xml:space="preserve">kirsehir@ahika.gov.tr</t>
  </si>
  <si>
    <t xml:space="preserve">https://www.ahika.gov.tr/</t>
  </si>
  <si>
    <t xml:space="preserve">Kocaeli</t>
  </si>
  <si>
    <t xml:space="preserve">Kandıra</t>
  </si>
  <si>
    <t xml:space="preserve">1) Elektrik ve piroteknik yüksek nitelikli cihaz (akıllı elektrikli aktüatör, servo, hareket kontrol vb.) · 2) Raylı sistemler için elastomer bazlı ürünler · 3) Suyun geri kazanımına yönelik yüksek teknoloji ürünler · 4) Yüksek teknoloji ve entegre deprem dayanım ürünleri ve test altyapıları</t>
  </si>
  <si>
    <t xml:space="preserve">Kocaeli Merkez Ofis</t>
  </si>
  <si>
    <t xml:space="preserve">info@marka.org.tr</t>
  </si>
  <si>
    <t xml:space="preserve">Konya</t>
  </si>
  <si>
    <t xml:space="preserve">Ahırlı, Akören, Altınekin, Bozkır, Çeltik, Çumra, Derbent, Derebucak, Doğanhisar, Emirgazi, Güneysınır, Hadim, Halkapınar, Hüyük, Kadınhanı, Sarayönü, Taşkent, Tuzlukçu, Yalıhüyük, Yunak</t>
  </si>
  <si>
    <t xml:space="preserve">1) Akıllı tarım teknolojileri, makine, ekipman ve aksamları · 2) Askeri savaş araçları, silah ve parçaları ile mühimmat · 3) Motorlu taşıt aksam ve parçaları (elektrik-elektronik aksam, güç aktarım dahil) · 4) Raylı taşımacılık için demiryolu araçları ve parçaları</t>
  </si>
  <si>
    <t xml:space="preserve">Mevlana Kalkınma Ajansı</t>
  </si>
  <si>
    <t xml:space="preserve">Konya Merkez Ofis</t>
  </si>
  <si>
    <t xml:space="preserve">+90 332 236 32 90</t>
  </si>
  <si>
    <t xml:space="preserve">konyaydo@mevka.org.tr</t>
  </si>
  <si>
    <t xml:space="preserve">https://www.mevka.org.tr/</t>
  </si>
  <si>
    <t xml:space="preserve">Kütahya</t>
  </si>
  <si>
    <t xml:space="preserve">Altıntaş, Aslanapa, Çavdarhisar, Domaniç, Dumlupınar, Emet, Hisarcık, Pazarlar, Şaphane</t>
  </si>
  <si>
    <t xml:space="preserve">1) Beş yıldızlı konaklama tesisi (termal otel, sağlık kompleksi vb.) · 2) Madenlerin işlenmesi ve katma değerli endüstriyel ürün (manyezit, grafit, krom, bor vb.) · 3) Otomotiv yan sanayi elektrik, mekanik ve akışkan iletim bileşenleri · 4) Teknik seramik ürünleri</t>
  </si>
  <si>
    <t xml:space="preserve">Kütahya Merkez Ofis</t>
  </si>
  <si>
    <t xml:space="preserve">+90 274 271 77 61</t>
  </si>
  <si>
    <t xml:space="preserve">info@zafer.gov.tr</t>
  </si>
  <si>
    <t xml:space="preserve">Malatya</t>
  </si>
  <si>
    <t xml:space="preserve">Akçadağ, Arapgir, Arguvan, Battalgazi, Darende, Doğanşehir, Doğanyol, Hekimhan, Kale, Kuluncak, Pütürge, Yazıhan, Yeşilyurt</t>
  </si>
  <si>
    <t xml:space="preserve">1) Asgari 1.000 büyükbaş entegre et/süt hayvancılığı · 2) Endüstriyel ve ileri teknoloji elektronik sistemlere yönelik kablo ve bağlantı ürünleri · 3) Meyve, sebze ve doğal kaynaklardan katma değerli ürün · 4) Tıbbi cihaz üretimi</t>
  </si>
  <si>
    <t xml:space="preserve">Endüstriyel ve ileri teknoloji elektronik sistemlere yönelik kablo ve bağlantı ürünleri</t>
  </si>
  <si>
    <t xml:space="preserve">Malatya Merkez Ofis</t>
  </si>
  <si>
    <t xml:space="preserve">+90 422) 322 15 55</t>
  </si>
  <si>
    <t xml:space="preserve">malatyaydo@fka.gov.tr</t>
  </si>
  <si>
    <t xml:space="preserve">Manisa</t>
  </si>
  <si>
    <t xml:space="preserve">Ahmetli, Demirci, Gölmarmara, Gördes, Kırkağaç, Köprübaşı, Sarıgöl, Saruhanlı, Selendi</t>
  </si>
  <si>
    <t xml:space="preserve">1) Akıllı tarım teknolojileri, makine, ekipman ve aksamları · 2) Asgari 20 dekar entegre jeotermal sera tesisi · 3) İklimlendirme ve beyaz eşyaya yönelik ekipman ve kritik aksam (kompresör, inverter vb.) · 4) Tarımsal atıklardan katma değerli ürün</t>
  </si>
  <si>
    <t xml:space="preserve">Asgari 20 dekar entegre jeotermal sera tesisi · İklimlendirme ve beyaz eşyaya yönelik ekipman ve kritik aksam (kompresör, inverter vb.)</t>
  </si>
  <si>
    <t xml:space="preserve">Manisa Yatırım Destek Ofisi</t>
  </si>
  <si>
    <t xml:space="preserve">manisaydo@zafer.gov.tr</t>
  </si>
  <si>
    <t xml:space="preserve">Kahramanmaraş</t>
  </si>
  <si>
    <t xml:space="preserve">Afşin, Andırın, Çağlayancerit, Dulkadiroğlu, Ekinözü, Elbistan, Göksun, Nurhak, Onikişubat, Pazarcık, Türkoğlu</t>
  </si>
  <si>
    <t xml:space="preserve">1) Altın rafinerisi · 2) Entegre su ürünleri üretimi ve/veya işleme · 3) Havacılık ve uzay sanayine yönelik ara/nihai ürün · 4) Yüksek katma değerli teknik tekstil ve fonksiyonel kumaş</t>
  </si>
  <si>
    <t xml:space="preserve">Kahramanmaraş Yatırım Destek Ofisi</t>
  </si>
  <si>
    <t xml:space="preserve">+90 344 231 14 17</t>
  </si>
  <si>
    <t xml:space="preserve">kydo@dogaka.gov.tr</t>
  </si>
  <si>
    <t xml:space="preserve">Mardin</t>
  </si>
  <si>
    <t xml:space="preserve">1) Endüstriyel unlu mamuller · 2) Nişasta bazlı katma değerli ürünler · 3) Nitelikli kültürel ve yaratıcı endüstri yatırımları · 4) Üzüm ve üzüm atık/yan ürünlerinden katma değerli ürün</t>
  </si>
  <si>
    <t xml:space="preserve">Dicle Kalkınma Ajansı</t>
  </si>
  <si>
    <t xml:space="preserve">Mardin Merkez Ofis</t>
  </si>
  <si>
    <t xml:space="preserve">+90 482 212 17 25</t>
  </si>
  <si>
    <t xml:space="preserve">https://www.dika.gov.tr/</t>
  </si>
  <si>
    <t xml:space="preserve">Muğla</t>
  </si>
  <si>
    <t xml:space="preserve">Kavaklıdere, Seydikemer</t>
  </si>
  <si>
    <t xml:space="preserve">1) Ekolojik yaşam temelli yaşlı bakım ve sağlık merkezi · 2) Mermer atıklarından yüksek katma değerli ürün · 3) Su ürünleri ve atıklarından katma değerli ürün · 4) Tekne/yat veya yan sanayi ve ileri/geri bağlantılı ürünler</t>
  </si>
  <si>
    <t xml:space="preserve">Muğla Yatırım Destek Ofisi</t>
  </si>
  <si>
    <t xml:space="preserve">+90 252 213 17 92</t>
  </si>
  <si>
    <t xml:space="preserve">mugla@geka.gov.tr</t>
  </si>
  <si>
    <t xml:space="preserve">Muş</t>
  </si>
  <si>
    <t xml:space="preserve">1) Asgari 300 büyükbaş entegre et/süt hayvancılığı · 2) Dört yıldız ve üzeri konaklama tesisi · 3) Entegre kaz yetiştiriciliği ve ürünleri işleme · 4) Su ürünleri yetiştiriciliği ve/veya işleme</t>
  </si>
  <si>
    <t xml:space="preserve">Muş Yatırım Destek Ofisi</t>
  </si>
  <si>
    <t xml:space="preserve">+90 436 212 95 13</t>
  </si>
  <si>
    <t xml:space="preserve">Nevşehir</t>
  </si>
  <si>
    <t xml:space="preserve">Acıgöl, Derinkuyu, Gülşehir, Hacıbektaş</t>
  </si>
  <si>
    <t xml:space="preserve">1) Dondurulmuş patates ve patatesten katma değerli ürün · 2) Görsel/işitsel prodüksiyon ve stüdyo altyapısı · 3) Nitelikli kültür endüstrileri yatırımları · 4) Veri merkezi (kaya oyma)</t>
  </si>
  <si>
    <t xml:space="preserve">Veri merkezi (kaya oyma)</t>
  </si>
  <si>
    <t xml:space="preserve">Nevşehir Yatırım Destek Ofisi</t>
  </si>
  <si>
    <t xml:space="preserve">+90 384 214 36 66</t>
  </si>
  <si>
    <t xml:space="preserve">nevsehir@ahika.gov.tr</t>
  </si>
  <si>
    <t xml:space="preserve">Niğde</t>
  </si>
  <si>
    <t xml:space="preserve">Altunhisar, Çiftlik</t>
  </si>
  <si>
    <t xml:space="preserve">1) Gıda ve içecek makinaları · 2) Maden işleme ve taş ocağı makineleri · 3) Meyve ve sebzeden katma değerli ürün · 4) Mikronize kalsitten katma değerli ürün</t>
  </si>
  <si>
    <t xml:space="preserve">Niğde Yatırım Destek Ofisi</t>
  </si>
  <si>
    <t xml:space="preserve">+90 388 233 51 59</t>
  </si>
  <si>
    <t xml:space="preserve">nigde@ahika.gov.tr</t>
  </si>
  <si>
    <t xml:space="preserve">Ordu</t>
  </si>
  <si>
    <t xml:space="preserve">Akkuş, Çatalpınar, Çaybaşı, Gürgentepe, İkizce, Mesudiye</t>
  </si>
  <si>
    <t xml:space="preserve">1) Bal ve arı ürünleri · 2) Yaşlı bakım merkezi · 3) Fındık lisanslı depo · 4) Fındık ve yan ürünlerinden katma değerli ürün</t>
  </si>
  <si>
    <t xml:space="preserve">Ordu Yatırım Destek Ofisi</t>
  </si>
  <si>
    <t xml:space="preserve">+90 462 455 40 75</t>
  </si>
  <si>
    <t xml:space="preserve">Rize</t>
  </si>
  <si>
    <t xml:space="preserve">Çamlıhemşin, Derepazarı, Güneysu, Hemşin, İkizdere, İyidere, Kalkandere</t>
  </si>
  <si>
    <t xml:space="preserve">1) Çay ve yan ürünlerinden katma değerli ürün (pelet dahil) · 2) Doğa temelli turizm yatırımları · 3) Silah ve mühimmat üretimi · 4) Su ürünleri üretimi ve/veya katma değerli işleme</t>
  </si>
  <si>
    <t xml:space="preserve">Çay ve yan ürünlerinden katma değerli ürün (pelet dahil)</t>
  </si>
  <si>
    <t xml:space="preserve">Rize Yatırım Destek Ofisi</t>
  </si>
  <si>
    <t xml:space="preserve">+90 462 455 40 76</t>
  </si>
  <si>
    <t xml:space="preserve">Sakarya</t>
  </si>
  <si>
    <t xml:space="preserve">Karapürçek, Kaynarca, Kocaali, Taraklı</t>
  </si>
  <si>
    <t xml:space="preserve">1) Akıllı teknolojili ölçüm ve sayaç sistemleri ile ekipmanları · 2) Araçlar için özellikli sanitasyon sistemleri · 3) Tarımsal ürün ve/veya atıklarından katma değerli ürün · 4) Yüksek teknoloji endüstriyel gıda işleme makineleri ve kritik bileşenleri</t>
  </si>
  <si>
    <t xml:space="preserve">Akıllı teknolojili ölçüm ve sayaç sistemleri ile ekipmanları</t>
  </si>
  <si>
    <t xml:space="preserve">Sakarya Yatırım Destek Ofisi</t>
  </si>
  <si>
    <t xml:space="preserve">Samsun</t>
  </si>
  <si>
    <t xml:space="preserve">Alaçam, Asarcık, Ayvacık, Kavak, Ladik, Salıpazarı, Terme, Vezirköprü, Yakakent</t>
  </si>
  <si>
    <t xml:space="preserve">1) Motorlu taşıt aksam ve parçaları (elektrik-elektronik aksam dahil) · 2) Silah sistemleri ve mühimmat · 3) Su ürünleri üretimi ve/veya katma değerli işleme · 4) Tıbbi cihaz üretimi</t>
  </si>
  <si>
    <t xml:space="preserve">Samsun Merkez Ofis</t>
  </si>
  <si>
    <t xml:space="preserve">+90 362 431 24 00</t>
  </si>
  <si>
    <t xml:space="preserve">info@investsamsun.com</t>
  </si>
  <si>
    <t xml:space="preserve">Siirt</t>
  </si>
  <si>
    <t xml:space="preserve">1) Asgari 1.000 küçükbaş entegre et/süt hayvancılığı · 2) Asgari 2.000 ton sert kabuklu meyve (Siirt fıstığı) lisanslı depo · 3) Dört yıldız ve üzeri konaklama tesisi · 4) Entegre bal ve arı ürünleri</t>
  </si>
  <si>
    <t xml:space="preserve">Siirt Yatırım Destek Ofisi</t>
  </si>
  <si>
    <t xml:space="preserve">Sinop</t>
  </si>
  <si>
    <t xml:space="preserve">Dikmen</t>
  </si>
  <si>
    <t xml:space="preserve">1) Ağaç ve orman ürünlerinden katma değerli ürün · 2) Beş yıldızlı konaklama tesisi · 3) Su ürünleri üretimi ve/veya katma değerli işleme · 4) Yaşlı bakım merkezi</t>
  </si>
  <si>
    <t xml:space="preserve">Sinop Yatırım Destek Ofisi</t>
  </si>
  <si>
    <t xml:space="preserve">+90 368 260 37 01</t>
  </si>
  <si>
    <t xml:space="preserve">sinopydo@kuzka.gov.tr</t>
  </si>
  <si>
    <t xml:space="preserve">Sivas</t>
  </si>
  <si>
    <t xml:space="preserve">Gürün</t>
  </si>
  <si>
    <t xml:space="preserve">Akıncılar, Altınyayla, Doğanşar, Gölova, Hafik, İmranlı, Koyulhisar, Ulaş, Yıldızeli</t>
  </si>
  <si>
    <t xml:space="preserve">1) Havacılık, raylı sistemler ve otomotiv için mekanik ve elektrik bağlantı elemanları · 2) Optik malzeme içeren ürünler · 3) Ulaşım araçları için döküm parça · 4) Yapı malzemeleri ve yapı kimyasalları (ısı-ses yalıtım ürünleri dahil)</t>
  </si>
  <si>
    <t xml:space="preserve">Sivas Yatırım Destek Ofisi</t>
  </si>
  <si>
    <t xml:space="preserve">+90 346 222 08 00</t>
  </si>
  <si>
    <t xml:space="preserve">Tekirdağ</t>
  </si>
  <si>
    <t xml:space="preserve">Hayrabolu</t>
  </si>
  <si>
    <t xml:space="preserve">1) Motorlu taşıt aksam ve parçaları (elektrik-elektronik aksam dahil) · 2) Savunma ve sivil havacılık yapısal parça · 3) Tekstil makine ve aksamları · 4) Tıbbi cihaz üretimi</t>
  </si>
  <si>
    <t xml:space="preserve">Tekirdağ Merkez Ofis</t>
  </si>
  <si>
    <t xml:space="preserve">Tokat</t>
  </si>
  <si>
    <t xml:space="preserve">Başçiftlik, Sulusaray</t>
  </si>
  <si>
    <t xml:space="preserve">1) Ağaç ve orman ürünlerinden katma değerli ürün · 2) Asgari 500 büyükbaş entegre süt hayvancılığı · 3) Meyve ve sebzeden katma değerli ürün · 4) Yüksek ekonomik değerli endüstriyel süt ürünleri</t>
  </si>
  <si>
    <t xml:space="preserve">Tokat Yatırım Destek Ofisi</t>
  </si>
  <si>
    <t xml:space="preserve">+90 356 228 93 60</t>
  </si>
  <si>
    <t xml:space="preserve">info@investtokat.com</t>
  </si>
  <si>
    <t xml:space="preserve">Trabzon</t>
  </si>
  <si>
    <t xml:space="preserve">Araklı, Çarşıbaşı, Dernekpazarı, Düzköy, Hayrat, Köprübaşı, Şalpazarı, Tonya</t>
  </si>
  <si>
    <t xml:space="preserve">1) Ağaç ve orman ürünleri ile modüler mobilya (CLT, lamine ahşap vb.) · 2) Alternatif turizm yatırımları · 3) Su ürünleri işleme ve yan sanayi · 4) Tıbbi ve aromatik bitkilerden katma değerli ürün</t>
  </si>
  <si>
    <t xml:space="preserve">Trabzon Merkez Ofis</t>
  </si>
  <si>
    <t xml:space="preserve">+90 462 455 40 89 </t>
  </si>
  <si>
    <t xml:space="preserve">doka@doka.org.tr</t>
  </si>
  <si>
    <t xml:space="preserve">Tunceli</t>
  </si>
  <si>
    <t xml:space="preserve">1) Alternatif turizm yatırımları · 2) Ambalajlı doğal kaynak suyu/içecek üretimi · 3) Asgari 1.000 küçükbaş entegre et/süt hayvancılığı · 4) Su ürünleri yumurta ve yavru üretim tesisi</t>
  </si>
  <si>
    <t xml:space="preserve">Tunceli Yatırım Destek Ofisi</t>
  </si>
  <si>
    <t xml:space="preserve">+90 428 213 34 84</t>
  </si>
  <si>
    <t xml:space="preserve">igdiryatirimdestekofisi@fka.gov.tr</t>
  </si>
  <si>
    <t xml:space="preserve">Şanlıurfa</t>
  </si>
  <si>
    <t xml:space="preserve">1) Pamuk ve pamuk atık/yan ürünlerinden katma değerli ürün · 2) Tarım makineleri ve parçaları · 3) Tarımsal ürünlerden katma değerli ürün · 4) Taş yünü üretimi</t>
  </si>
  <si>
    <t xml:space="preserve">Taş yünü üretimi</t>
  </si>
  <si>
    <t xml:space="preserve">Şanlıurfa Yatırım Destek Ofisi</t>
  </si>
  <si>
    <t xml:space="preserve">+90 414 314 98 03</t>
  </si>
  <si>
    <t xml:space="preserve">urfaydo@karacadag.gov.tr</t>
  </si>
  <si>
    <t xml:space="preserve">Uşak</t>
  </si>
  <si>
    <t xml:space="preserve">Banaz, Karahallı, Sivaslı, Ulubey</t>
  </si>
  <si>
    <t xml:space="preserve">1) Teknik ve endüstriyel keçe ve keçe malzemeleri · 2) Tekstil kimyasalları · 3) Tekstil makinaları ve parçaları · 4) Tekstil ve deri atıklarından katma değerli ürün</t>
  </si>
  <si>
    <t xml:space="preserve">Uşak Yatırım Destek Ofisi</t>
  </si>
  <si>
    <t xml:space="preserve">usakydo@zafer.gov.tr</t>
  </si>
  <si>
    <t xml:space="preserve">Van</t>
  </si>
  <si>
    <t xml:space="preserve">1) Asgari 100 yataklı özel hastane · 2) Asgari 20 dekar entegre jeotermal sera tesisi · 3) Asgari 500 baş küçükbaş/büyükbaş yetiştiriciliği ve/veya entegre ürün · 4) Van Gölü dört yıldız ve üzeri konaklama kompleksi ve/veya alternatif turizm</t>
  </si>
  <si>
    <t xml:space="preserve">Van Merkez Ofis</t>
  </si>
  <si>
    <t xml:space="preserve">+90 432 485 10 15</t>
  </si>
  <si>
    <t xml:space="preserve">bilgi@daka.org.tr</t>
  </si>
  <si>
    <t xml:space="preserve">Yozgat</t>
  </si>
  <si>
    <t xml:space="preserve">Aydıncık, Kadışehri</t>
  </si>
  <si>
    <t xml:space="preserve">1) Asgari 20 dekar entegre jeotermal sera tesisi · 2) Asgari 500 büyükbaş entegre besi ve et ürünleri işleme · 3) Bakliyattan katma değerli ürün · 4) Paketlenmiş hazır gıda</t>
  </si>
  <si>
    <t xml:space="preserve">Yozgat Yatırım Destek Ofisi</t>
  </si>
  <si>
    <t xml:space="preserve">Zonguldak</t>
  </si>
  <si>
    <t xml:space="preserve">Kilimli</t>
  </si>
  <si>
    <t xml:space="preserve">1) Doğa temelli turizm yatırımları · 2) Endüstriyel orman ürünleri ile ahşap/kompozit esaslı katma değerli ürün (yalıtım ürünleri dahil) · 3) Su ürünleri üretimi ve/veya katma değerli işleme · 4) Yassı çelik tabanlı katma değerli ürün</t>
  </si>
  <si>
    <t xml:space="preserve">Endüstriyel orman ürünleri ile ahşap/kompozit esaslı katma değerli ürün (yalıtım ürünleri dahil)</t>
  </si>
  <si>
    <t xml:space="preserve">Batı Karadeniz Kalkınma Ajansı</t>
  </si>
  <si>
    <t xml:space="preserve">Zonguldak Merkez Ofis</t>
  </si>
  <si>
    <t xml:space="preserve">+90 372 257 74 70</t>
  </si>
  <si>
    <t xml:space="preserve">https://www.bakka.gov.tr/</t>
  </si>
  <si>
    <t xml:space="preserve">Aksaray</t>
  </si>
  <si>
    <t xml:space="preserve">Ağaçören, Eskil, Gülağaç, Güzelyurt, Sultanhanı</t>
  </si>
  <si>
    <t xml:space="preserve">1) Endüstriyel metal teknolojilerine yönelik katma değerli ürün · 2) Motorlu taşıt aksam ve parçaları (elektrik motorları dahil) · 3) Motosiklet, moped ve motorlu bisiklet ile aksam-parçaları · 4) Savunma sanayii için teknik aksam ve kritik bileşenler</t>
  </si>
  <si>
    <t xml:space="preserve">Motorlu taşıt aksam ve parçaları (elektrik motorları dahil)</t>
  </si>
  <si>
    <t xml:space="preserve">Aksaray Merkez Ofis</t>
  </si>
  <si>
    <t xml:space="preserve">+90 382 215 00 18</t>
  </si>
  <si>
    <t xml:space="preserve">aksaray@ahika.gov.tr</t>
  </si>
  <si>
    <t xml:space="preserve">Bayburt</t>
  </si>
  <si>
    <t xml:space="preserve">1) Ambalajlı doğal kaynak suyu/içecek üretimi · 2) Asgari 300 büyükbaş entegre et/süt hayvancılığı · 3) Bayburt Kop Dağı kayak merkezi konaklama tesisi · 4) Doğal taş işleme ve katma değerli ürün</t>
  </si>
  <si>
    <t xml:space="preserve">Bayburt Yatırım Destek Ofisi</t>
  </si>
  <si>
    <t xml:space="preserve">+90 458 210 10 00</t>
  </si>
  <si>
    <t xml:space="preserve">bayburtydo@kudaka.gov.tr</t>
  </si>
  <si>
    <t xml:space="preserve">Karaman</t>
  </si>
  <si>
    <t xml:space="preserve">Ayrancı, Başyayla, Ermenek, Sarıveliler</t>
  </si>
  <si>
    <t xml:space="preserve">1) Beş yıldızlı konaklama tesisi · 2) Fonksiyonel gıdalar ve yüksek katma değerli gıda bileşenleri · 3) Gıdaya yönelik makine ve endüstriyel mutfak ürünleri · 4) Nitelikli ambalaj ve paketleme ürünleri</t>
  </si>
  <si>
    <t xml:space="preserve">Karaman Yatırım Destek Ofisi</t>
  </si>
  <si>
    <t xml:space="preserve">+90 338 213 0020</t>
  </si>
  <si>
    <t xml:space="preserve">karamanydo@mevka.org.tr</t>
  </si>
  <si>
    <t xml:space="preserve">Kırıkkale</t>
  </si>
  <si>
    <t xml:space="preserve">Balışeyh, Çelebi, Delice, Karakeçili, Keskin, Sulakyurt</t>
  </si>
  <si>
    <t xml:space="preserve">1) Kritik kimyasallar ve enerjik malzemeler · 2) Petrokimya ara girdilerine dayalı yüksek katma değerli ürünler · 3) Savunma sanayine yönelik metal işleme, mühimmat ve silah parçaları · 4) Tuz ham maddesinden katma değerli kimyasallar</t>
  </si>
  <si>
    <t xml:space="preserve">Kritik kimyasallar ve enerjik malzemeler</t>
  </si>
  <si>
    <t xml:space="preserve">Kırıkkale Yatırım Destek Ofisi</t>
  </si>
  <si>
    <t xml:space="preserve">+90 318 222 09 36</t>
  </si>
  <si>
    <t xml:space="preserve">kirikkale@ahika.gov.tr</t>
  </si>
  <si>
    <t xml:space="preserve">Batman</t>
  </si>
  <si>
    <t xml:space="preserve">1) Meyve/sebze işleme, kurutma ve paketlenmiş gıda · 2) Asgari 20 dekar entegre sera tesisi · 3) Doğa temelli turizm yatırımları · 4) Tekstil yan sanayi ve ileri/geri bağlantılı ürünler</t>
  </si>
  <si>
    <t xml:space="preserve">Batman Yatırım Destek Ofisi</t>
  </si>
  <si>
    <t xml:space="preserve">Şırnak</t>
  </si>
  <si>
    <t xml:space="preserve">1) Asgari 1.000 küçükbaş entegre et/süt hayvancılığı · 2) Kara taşıtlarının diğer aksam ve parçaları · 3) Mobilya üretimi · 4) Yer fıstığı işleme tesisi</t>
  </si>
  <si>
    <t xml:space="preserve">Şırnak Yatırım Destek Ofisi</t>
  </si>
  <si>
    <t xml:space="preserve">Bartın</t>
  </si>
  <si>
    <t xml:space="preserve">1) Asgari 300 baş manda yetiştiriciliği ve/veya manda ürünleri entegre tesis · 2) Doğa temelli turizm yatırımları · 3) Endüstriyel orman ürünleri ile ahşap/kompozit esaslı katma değerli ürün (yalıtım ürünleri dahil) · 4) Plastik, kauçuk ve kompozit tabanlı ürün (enerji sektörüne yönelik, AG/güç kabloları izoleli kablo setleri dahil)</t>
  </si>
  <si>
    <t xml:space="preserve">Endüstriyel orman ürünleri ile ahşap/kompozit esaslı katma değerli ürün (yalıtım ürünleri dahil) · Plastik, kauçuk ve kompozit tabanlı ürün (enerji sektörüne yönelik, AG/güç kabloları izoleli kablo setleri dahil)</t>
  </si>
  <si>
    <t xml:space="preserve">Bartın Yatırım Destek Ofisi</t>
  </si>
  <si>
    <t xml:space="preserve">+90 378 227 67 02</t>
  </si>
  <si>
    <t xml:space="preserve">Ardahan</t>
  </si>
  <si>
    <t xml:space="preserve">1) Asgari 300 büyükbaş entegre et/süt hayvancılığı · 2) Dört yıldız ve üzeri konaklama tesisi · 3) Entegre kaz yetiştiriciliği ve ürünleri işleme · 4) Mobilya üretimi</t>
  </si>
  <si>
    <t xml:space="preserve">Ardahan Yatırım Destek Ofisi</t>
  </si>
  <si>
    <t xml:space="preserve">+90 478 211 38 33</t>
  </si>
  <si>
    <t xml:space="preserve">ardahanyatirimdestekofisi@serka.gov.tr</t>
  </si>
  <si>
    <t xml:space="preserve">Iğdır</t>
  </si>
  <si>
    <t xml:space="preserve">1) Dört yıldız ve üzeri konaklama tesisi · 2) Asgari 300 büyükbaş entegre et/süt hayvancılığı · 3) Kara taşıtları aksam ve parçaları · 4) Meyve/sebze işleme, kurutma ve paketlenmiş gıda</t>
  </si>
  <si>
    <t xml:space="preserve">Iğdır Yatırım Destek Ofisi</t>
  </si>
  <si>
    <t xml:space="preserve">+90 476 227 70 10</t>
  </si>
  <si>
    <t xml:space="preserve">igdiryatirimdestekofisi@serka.gov.tr</t>
  </si>
  <si>
    <t xml:space="preserve">Yalova</t>
  </si>
  <si>
    <t xml:space="preserve">1) Deniz araçları kritik parçaları · 2) Meyve/sebze ve atıklarından katma değerli ürün · 3) Sera malzemeleri ve süs bitkileri için torf toprak üretimi · 4) Termal kaynak kullanımına dayalı konaklama ve sağlık yatırımları</t>
  </si>
  <si>
    <t xml:space="preserve">Yalova Yatırım Destek Ofisi</t>
  </si>
  <si>
    <t xml:space="preserve">Karabük</t>
  </si>
  <si>
    <t xml:space="preserve">Eflani, Eskipazar, Ovacık, Yenice</t>
  </si>
  <si>
    <t xml:space="preserve">1) Beş yıldızlı konaklama tesisi · 2) Endüstriyel orman ürünleri ile ahşap/kompozit esaslı katma değerli ürün ve mobilya · 3) Uzun çelik tabanlı katma değerli ürün · 4) Yüksek performanslı titanyum alaşımları ve yeni nesil çelik</t>
  </si>
  <si>
    <t xml:space="preserve">Karabük Yatırım Destek Ofisi</t>
  </si>
  <si>
    <t xml:space="preserve">+90 370 412 00 36</t>
  </si>
  <si>
    <t xml:space="preserve">Kilis</t>
  </si>
  <si>
    <t xml:space="preserve">Musabeyli, Polateli</t>
  </si>
  <si>
    <t xml:space="preserve">Elbeyli</t>
  </si>
  <si>
    <t xml:space="preserve">1) Asgari 300 büyükbaş entegre et/süt hayvancılığı · 2) Dört yıldız ve üzeri konaklama tesisi · 3) Üzüm işleme ve üzüm atık/yan ürünlerinden katma değerli ürün · 4) Zeytin ve atıklarından katma değerli ürün</t>
  </si>
  <si>
    <t xml:space="preserve">Kilis Yatırım Destek Ofisi</t>
  </si>
  <si>
    <t xml:space="preserve">Osmaniye</t>
  </si>
  <si>
    <t xml:space="preserve">Bahçe, Hasanbeyli</t>
  </si>
  <si>
    <t xml:space="preserve">Sumbas</t>
  </si>
  <si>
    <t xml:space="preserve">1) Asgari 20 dekar entegre sera tesisi · 2) Çelik tabanlı katma değerli ürün · 3) Demir-çelik sektörü geri kazanım tesisi · 4) Tarımsal ürün ve/veya atıklarından katma değerli ürün (yüksek kalorili yakıt, aktif kömür dahil)</t>
  </si>
  <si>
    <t xml:space="preserve">Tarımsal ürün ve/veya atıklarından katma değerli ürün (yüksek kalorili yakıt, aktif kömür dahil)</t>
  </si>
  <si>
    <t xml:space="preserve">Osmaniye Yatırım Destek Ofisi</t>
  </si>
  <si>
    <t xml:space="preserve">+90 328 888 00 00</t>
  </si>
  <si>
    <t xml:space="preserve">oydo@dogaka.gov.tr</t>
  </si>
  <si>
    <t xml:space="preserve">Düzce</t>
  </si>
  <si>
    <t xml:space="preserve">Cumayeri, Çilimli, Gölyaka, Yığılca</t>
  </si>
  <si>
    <t xml:space="preserve">1) Alternatif turizm yatırımları · 2) Fındık ve fındık atık/yan ürünlerinden katma değerli ürün (aktif karbon dahil) · 3) Otomotiv sektörüne yönelik orta-yüksek ve yüksek teknoloji ürünler (elektrikli araç ürünleri dahil) · 4) Tarımsal ürün ve tıbbi-aromatik bitkilerden katma değerli ürün</t>
  </si>
  <si>
    <t xml:space="preserve">Otomotiv sektörüne yönelik orta-yüksek ve yüksek teknoloji ürünler (elektrikli araç ürünleri dahil)</t>
  </si>
  <si>
    <t xml:space="preserve">Düzce Yatırım Destek Ofisi</t>
  </si>
  <si>
    <t xml:space="preserve">Yerel Kalkınma Hamlesi · 81 il × 4 konu (324)</t>
  </si>
  <si>
    <t xml:space="preserve">Yerel Yatırım Konuları Listesi Tebliği EK-1 (RG 31.01.2026/33154). Başlıklar kısaltıldı; tam metin RG'dedir. Bölge ve ajans İller sayfasından formülle gelir.</t>
  </si>
  <si>
    <t xml:space="preserve">Sıra</t>
  </si>
  <si>
    <t xml:space="preserve">Yerel yatırım konusu</t>
  </si>
  <si>
    <t xml:space="preserve">Enerji bağlantılı?</t>
  </si>
  <si>
    <t xml:space="preserve">Nişasta tabanlı kimyasal türevler ve ileri katma değerli ürünler</t>
  </si>
  <si>
    <t xml:space="preserve">Su ürünleri üretimi ve/veya katma değerli işleme</t>
  </si>
  <si>
    <t xml:space="preserve">Temizlik kimyasalları ve yüzey aktif maddeler</t>
  </si>
  <si>
    <t xml:space="preserve">Asgari 300 büyükbaş entegre et/süt hayvancılığı</t>
  </si>
  <si>
    <t xml:space="preserve">Badem işleme ve katma değerli badem mamulleri</t>
  </si>
  <si>
    <t xml:space="preserve">Dört yıldız ve üzeri konaklama tesisi</t>
  </si>
  <si>
    <t xml:space="preserve">Asgari 300 baş manda yetiştiriciliği ve/veya manda ürünleri entegre tesis</t>
  </si>
  <si>
    <t xml:space="preserve">Kesimhane artıklarından katma değerli ürün</t>
  </si>
  <si>
    <t xml:space="preserve">Mermer atıklarından yüksek katma değerli ürün</t>
  </si>
  <si>
    <t xml:space="preserve">Alternatif turizm yatırımları (termal konaklama vb.)</t>
  </si>
  <si>
    <t xml:space="preserve">Asgari 1.000 küçükbaş entegre et/süt hayvancılığı</t>
  </si>
  <si>
    <t xml:space="preserve">Asgari 500 büyükbaş entegre et/süt hayvancılığı</t>
  </si>
  <si>
    <t xml:space="preserve">İşlenmiş ve/veya dondurulmuş katma değerli et ürünleri</t>
  </si>
  <si>
    <t xml:space="preserve">Yaşlı bakım merkezi</t>
  </si>
  <si>
    <t xml:space="preserve">Asgari 1.000 baş entegre tiftik keçisi yetiştiriciliği ve ürünleri</t>
  </si>
  <si>
    <t xml:space="preserve">Kırsal ilçelerde alternatif turizm yatırımları</t>
  </si>
  <si>
    <t xml:space="preserve">Tıbbi cihaz üretimi</t>
  </si>
  <si>
    <t xml:space="preserve">Toz metalurjisi, toz metalden ürün ve makine üretimi</t>
  </si>
  <si>
    <t xml:space="preserve">Tıbbi ve aromatik bitkilerden katma değerli ürün</t>
  </si>
  <si>
    <t xml:space="preserve">Simgesel mimari ve nitelikli kültür endüstrileri</t>
  </si>
  <si>
    <t xml:space="preserve">Spor/sağlık turizmi yatırımları</t>
  </si>
  <si>
    <t xml:space="preserve">Ağaç ve orman ürünlerinden katma değerli ürün</t>
  </si>
  <si>
    <t xml:space="preserve">Doğa temelli turizm yatırımları</t>
  </si>
  <si>
    <t xml:space="preserve">Akıllı tarım teknolojileri, makine, ekipman ve aksamları</t>
  </si>
  <si>
    <t xml:space="preserve">Tarımsal ürünlerden katma değerli ürün</t>
  </si>
  <si>
    <t xml:space="preserve">Yüksek ekonomik değerli endüstriyel süt ürünleri</t>
  </si>
  <si>
    <t xml:space="preserve">Entegre kırmızı et işleme ve katma değerli ürün</t>
  </si>
  <si>
    <t xml:space="preserve">Termal turizm konseptli konaklama ve kongre merkezi</t>
  </si>
  <si>
    <t xml:space="preserve">Zeytinyağı lisanslı depo</t>
  </si>
  <si>
    <t xml:space="preserve">Meyve/sebze ve atıklarından katma değerli ürün</t>
  </si>
  <si>
    <t xml:space="preserve">Teknik seramik ürünleri (ileri seramik, alümina, zirkonya, silisyum karbür)</t>
  </si>
  <si>
    <t xml:space="preserve">Dört yıldız ve üzeri termal konaklama tesisi</t>
  </si>
  <si>
    <t xml:space="preserve">Entegre bal ve arı ürünleri</t>
  </si>
  <si>
    <t xml:space="preserve">Doğal taş işleme ve katma değerli ürün (Ahlat taşı vb.)</t>
  </si>
  <si>
    <t xml:space="preserve">Endüstriyel metal teknolojilerine yönelik katma değerli ürün</t>
  </si>
  <si>
    <t xml:space="preserve">Meyve ve sebzeden katma değerli ürün</t>
  </si>
  <si>
    <t xml:space="preserve">Deri ve deri atıklarından katma değerli ürün</t>
  </si>
  <si>
    <t xml:space="preserve">Makine ve makine yedek parça üretimi</t>
  </si>
  <si>
    <t xml:space="preserve">Asgari 1.000 baş yüksek genetikli entegre damızlık büyükbaş</t>
  </si>
  <si>
    <t xml:space="preserve">Havacılık ve savunma sanayiine yönelik alt sistem bileşenleri</t>
  </si>
  <si>
    <t xml:space="preserve">Kauçuktan yüksek katma değerli ürün</t>
  </si>
  <si>
    <t xml:space="preserve">Taşıtlarda soğutma sistemi parçaları (devirdaim pompası, ısı eşanjörü vb.)</t>
  </si>
  <si>
    <t xml:space="preserve">Yüksek katma değerli teknik tekstil ve fonksiyonel kumaş</t>
  </si>
  <si>
    <t xml:space="preserve">Asgari 2.000 küçükbaş entegre süt hayvancılığı</t>
  </si>
  <si>
    <t xml:space="preserve">Zeytin ve atıklarından katma değerli ürün</t>
  </si>
  <si>
    <t xml:space="preserve">Ambalajlı doğal kaynak suyu/içecek üretimi</t>
  </si>
  <si>
    <t xml:space="preserve">Leonardit, diyatomit, bazalt, perlit vb. endüstriyel minerallerden katma değerli ürün</t>
  </si>
  <si>
    <t xml:space="preserve">Otomotiv endüstrisi için aksam ve yedek parça</t>
  </si>
  <si>
    <t xml:space="preserve">Alaşımlı döküm ve sıcak dövme parçalar</t>
  </si>
  <si>
    <t xml:space="preserve">Mühimmat kimyasalları, gövdeleri ve alt sistem parçaları</t>
  </si>
  <si>
    <t xml:space="preserve">Orta-yüksek teknoloji makine üretimi</t>
  </si>
  <si>
    <t xml:space="preserve">Orta-yüksek teknoloji makine ve otomasyon sistemleri ile yedek parça</t>
  </si>
  <si>
    <t xml:space="preserve">Alüminyumdan katma değerli ürün</t>
  </si>
  <si>
    <t xml:space="preserve">Bitkisel girdilerden katma değerli endüstriyel ürün</t>
  </si>
  <si>
    <t xml:space="preserve">Paketli hazır gıda</t>
  </si>
  <si>
    <t xml:space="preserve">Tekstil yan sanayi ve ileri/geri bağlantılı ürünler</t>
  </si>
  <si>
    <t xml:space="preserve">Tahıl ürünlerinden yüksek katma değerli ürün</t>
  </si>
  <si>
    <t xml:space="preserve">Asgari 1.000 büyükbaş entegre et/süt hayvancılığı</t>
  </si>
  <si>
    <t xml:space="preserve">Entegre su ürünleri üretimi ve/veya işleme</t>
  </si>
  <si>
    <t xml:space="preserve">Hazar Gölü dört yıldız ve üzeri konaklama tesisi</t>
  </si>
  <si>
    <t xml:space="preserve">Üzüm ve üzüm atık/yan ürünlerinden katma değerli ürün</t>
  </si>
  <si>
    <t xml:space="preserve">Alternatif turizm yatırımları</t>
  </si>
  <si>
    <t xml:space="preserve">Ambalajlı doğal kaynak suyu/içecek veya içecek yan sanayi</t>
  </si>
  <si>
    <t xml:space="preserve">Asgari 100 yataklı özel hastane</t>
  </si>
  <si>
    <t xml:space="preserve">Madenlerin zenginleştirilmesi ve katma değerli endüstriyel ürün</t>
  </si>
  <si>
    <t xml:space="preserve">Elektrikli ev aletlerine yönelik endüstriyel metal şekillendirme ve parça</t>
  </si>
  <si>
    <t xml:space="preserve">Havacılık sektörüne yönelik parça üretimi ve işlenmesi</t>
  </si>
  <si>
    <t xml:space="preserve">Raylı taşımacılık araç parçaları veya test-belgelendirme merkezi</t>
  </si>
  <si>
    <t xml:space="preserve">Tarım makineleri aksam ve parçaları</t>
  </si>
  <si>
    <t xml:space="preserve">Çevre dostu ambalaj ürünleri (biyobozunur)</t>
  </si>
  <si>
    <t xml:space="preserve">Gıda, kimya vb. sektörlere yönelik yüksek nitelikli girdi</t>
  </si>
  <si>
    <t xml:space="preserve">Orta-yüksek teknoloji makine ve mekanik sistemler</t>
  </si>
  <si>
    <t xml:space="preserve">Fındık ve yan ürünlerinden katma değerli ürün</t>
  </si>
  <si>
    <t xml:space="preserve">Kaldırma ve taşıma ekipmanları</t>
  </si>
  <si>
    <t xml:space="preserve">Feldspat, bakır, kurşun, çinko vb. maden işleme veya zenginleştirme</t>
  </si>
  <si>
    <t xml:space="preserve">Fonksiyonel ve katma değerli gıda</t>
  </si>
  <si>
    <t xml:space="preserve">Asgari 100.000 adet entegre yumurta tavukçuluğu</t>
  </si>
  <si>
    <t xml:space="preserve">Asgari 20.000 m² alışveriş merkezi</t>
  </si>
  <si>
    <t xml:space="preserve">Çinko ve kurşun madenlerinin işlenmesi</t>
  </si>
  <si>
    <t xml:space="preserve">Ayakkabı yan sanayi ve ileri-geri bağlantılı ürünler</t>
  </si>
  <si>
    <t xml:space="preserve">Mobilya yan sanayi ve ileri-geri bağlantılı katma değerli ürünler</t>
  </si>
  <si>
    <t xml:space="preserve">Sanayide kullanılan ileri metal malzemeler işleme ve üretim</t>
  </si>
  <si>
    <t xml:space="preserve">Gül ve tıbbi aromatik bitki özlerinden katma değerli kozmetik ve gıda takviyesi</t>
  </si>
  <si>
    <t xml:space="preserve">Mantar kompostu ve/veya entegre mantar işleme</t>
  </si>
  <si>
    <t xml:space="preserve">Meyve ve atıklarından katma değerli ürün</t>
  </si>
  <si>
    <t xml:space="preserve">Bakliyattan katma değerli ürün</t>
  </si>
  <si>
    <t xml:space="preserve">Savunma sanayii metal yapısal parça, mekanik ve yapısal alt sistem</t>
  </si>
  <si>
    <t xml:space="preserve">Teknolojik tarım makineleri, modern ve akıllı sera sistemleri ve entegre ekipmanlar</t>
  </si>
  <si>
    <t xml:space="preserve">Asgari 10.000 m² girişimcilik ekosistemi ortak hizmet alanı</t>
  </si>
  <si>
    <t xml:space="preserve">Dikey tarım ve akıllı tarım yatırımları</t>
  </si>
  <si>
    <t xml:space="preserve">Nitelikli kültür endüstrileri yatırımları</t>
  </si>
  <si>
    <t xml:space="preserve">Tasarım, kreatif üretim, döngüsel üretim atölyeleri</t>
  </si>
  <si>
    <t xml:space="preserve">Aktarma elemanları (rulman, dişli, mil, kaplin vb.)</t>
  </si>
  <si>
    <t xml:space="preserve">Deniz ürünleri kaynaklı fonksiyonel gıda</t>
  </si>
  <si>
    <t xml:space="preserve">Küçük Menderes Havzası ilçelerinde doğa temelli turizm</t>
  </si>
  <si>
    <t xml:space="preserve">Nitelikli kültür endüstrisi yatırımları</t>
  </si>
  <si>
    <t xml:space="preserve">Entegre kaz yetiştiriciliği ve ürünleri işleme</t>
  </si>
  <si>
    <t xml:space="preserve">Kavılca buğdayından dondurulmuş unlu mamul</t>
  </si>
  <si>
    <t xml:space="preserve">Entegre mermer işleme ve mermerden katma değerli ürün</t>
  </si>
  <si>
    <t xml:space="preserve">Elektrikli ev aletleri veya ölçüm cihazlarında kullanılan yüksek katma değerli ürünler</t>
  </si>
  <si>
    <t xml:space="preserve">Mobilya yan sanayi ve ileri-geri bağlantılı ürünler</t>
  </si>
  <si>
    <t xml:space="preserve">Sivil havacılık ürünleri veya bakım merkezi</t>
  </si>
  <si>
    <t xml:space="preserve">Tahıl veya bakliyattan katma değerli gıda</t>
  </si>
  <si>
    <t xml:space="preserve">Yem katkı maddeleri ve fonksiyonel besleme bileşenleri</t>
  </si>
  <si>
    <t xml:space="preserve">Elektrik ve piroteknik yüksek nitelikli cihaz (akıllı elektrikli aktüatör, servo, hareket kontrol vb.)</t>
  </si>
  <si>
    <t xml:space="preserve">Raylı sistemler için elastomer bazlı ürünler</t>
  </si>
  <si>
    <t xml:space="preserve">Suyun geri kazanımına yönelik yüksek teknoloji ürünler</t>
  </si>
  <si>
    <t xml:space="preserve">Yüksek teknoloji ve entegre deprem dayanım ürünleri ve test altyapıları</t>
  </si>
  <si>
    <t xml:space="preserve">Askeri savaş araçları, silah ve parçaları ile mühimmat</t>
  </si>
  <si>
    <t xml:space="preserve">Motorlu taşıt aksam ve parçaları (elektrik-elektronik aksam, güç aktarım dahil)</t>
  </si>
  <si>
    <t xml:space="preserve">Raylı taşımacılık için demiryolu araçları ve parçaları</t>
  </si>
  <si>
    <t xml:space="preserve">Beş yıldızlı konaklama tesisi (termal otel, sağlık kompleksi vb.)</t>
  </si>
  <si>
    <t xml:space="preserve">Madenlerin işlenmesi ve katma değerli endüstriyel ürün (manyezit, grafit, krom, bor vb.)</t>
  </si>
  <si>
    <t xml:space="preserve">Otomotiv yan sanayi elektrik, mekanik ve akışkan iletim bileşenleri</t>
  </si>
  <si>
    <t xml:space="preserve">Teknik seramik ürünleri</t>
  </si>
  <si>
    <t xml:space="preserve">Meyve, sebze ve doğal kaynaklardan katma değerli ürün</t>
  </si>
  <si>
    <t xml:space="preserve">İklimlendirme ve beyaz eşyaya yönelik ekipman ve kritik aksam (kompresör, inverter vb.)</t>
  </si>
  <si>
    <t xml:space="preserve">Tarımsal atıklardan katma değerli ürün</t>
  </si>
  <si>
    <t xml:space="preserve">Altın rafinerisi</t>
  </si>
  <si>
    <t xml:space="preserve">Havacılık ve uzay sanayine yönelik ara/nihai ürün</t>
  </si>
  <si>
    <t xml:space="preserve">Endüstriyel unlu mamuller</t>
  </si>
  <si>
    <t xml:space="preserve">Nişasta bazlı katma değerli ürünler</t>
  </si>
  <si>
    <t xml:space="preserve">Nitelikli kültürel ve yaratıcı endüstri yatırımları</t>
  </si>
  <si>
    <t xml:space="preserve">Ekolojik yaşam temelli yaşlı bakım ve sağlık merkezi</t>
  </si>
  <si>
    <t xml:space="preserve">Su ürünleri ve atıklarından katma değerli ürün</t>
  </si>
  <si>
    <t xml:space="preserve">Tekne/yat veya yan sanayi ve ileri/geri bağlantılı ürünler</t>
  </si>
  <si>
    <t xml:space="preserve">Su ürünleri yetiştiriciliği ve/veya işleme</t>
  </si>
  <si>
    <t xml:space="preserve">Dondurulmuş patates ve patatesten katma değerli ürün</t>
  </si>
  <si>
    <t xml:space="preserve">Görsel/işitsel prodüksiyon ve stüdyo altyapısı</t>
  </si>
  <si>
    <t xml:space="preserve">Gıda ve içecek makinaları</t>
  </si>
  <si>
    <t xml:space="preserve">Maden işleme ve taş ocağı makineleri</t>
  </si>
  <si>
    <t xml:space="preserve">Mikronize kalsitten katma değerli ürün</t>
  </si>
  <si>
    <t xml:space="preserve">Bal ve arı ürünleri</t>
  </si>
  <si>
    <t xml:space="preserve">Fındık lisanslı depo</t>
  </si>
  <si>
    <t xml:space="preserve">Silah ve mühimmat üretimi</t>
  </si>
  <si>
    <t xml:space="preserve">Araçlar için özellikli sanitasyon sistemleri</t>
  </si>
  <si>
    <t xml:space="preserve">Tarımsal ürün ve/veya atıklarından katma değerli ürün</t>
  </si>
  <si>
    <t xml:space="preserve">Yüksek teknoloji endüstriyel gıda işleme makineleri ve kritik bileşenleri</t>
  </si>
  <si>
    <t xml:space="preserve">Motorlu taşıt aksam ve parçaları (elektrik-elektronik aksam dahil)</t>
  </si>
  <si>
    <t xml:space="preserve">Silah sistemleri ve mühimmat</t>
  </si>
  <si>
    <t xml:space="preserve">Asgari 2.000 ton sert kabuklu meyve (Siirt fıstığı) lisanslı depo</t>
  </si>
  <si>
    <t xml:space="preserve">Beş yıldızlı konaklama tesisi</t>
  </si>
  <si>
    <t xml:space="preserve">Havacılık, raylı sistemler ve otomotiv için mekanik ve elektrik bağlantı elemanları</t>
  </si>
  <si>
    <t xml:space="preserve">Optik malzeme içeren ürünler</t>
  </si>
  <si>
    <t xml:space="preserve">Ulaşım araçları için döküm parça</t>
  </si>
  <si>
    <t xml:space="preserve">Savunma ve sivil havacılık yapısal parça</t>
  </si>
  <si>
    <t xml:space="preserve">Tekstil makine ve aksamları</t>
  </si>
  <si>
    <t xml:space="preserve">Asgari 500 büyükbaş entegre süt hayvancılığı</t>
  </si>
  <si>
    <t xml:space="preserve">Ağaç ve orman ürünleri ile modüler mobilya (CLT, lamine ahşap vb.)</t>
  </si>
  <si>
    <t xml:space="preserve">Su ürünleri işleme ve yan sanayi</t>
  </si>
  <si>
    <t xml:space="preserve">Su ürünleri yumurta ve yavru üretim tesisi</t>
  </si>
  <si>
    <t xml:space="preserve">Pamuk ve pamuk atık/yan ürünlerinden katma değerli ürün</t>
  </si>
  <si>
    <t xml:space="preserve">Tarım makineleri ve parçaları</t>
  </si>
  <si>
    <t xml:space="preserve">Teknik ve endüstriyel keçe ve keçe malzemeleri</t>
  </si>
  <si>
    <t xml:space="preserve">Tekstil kimyasalları</t>
  </si>
  <si>
    <t xml:space="preserve">Tekstil makinaları ve parçaları</t>
  </si>
  <si>
    <t xml:space="preserve">Tekstil ve deri atıklarından katma değerli ürün</t>
  </si>
  <si>
    <t xml:space="preserve">Asgari 500 baş küçükbaş/büyükbaş yetiştiriciliği ve/veya entegre ürün</t>
  </si>
  <si>
    <t xml:space="preserve">Van Gölü dört yıldız ve üzeri konaklama kompleksi ve/veya alternatif turizm</t>
  </si>
  <si>
    <t xml:space="preserve">Asgari 500 büyükbaş entegre besi ve et ürünleri işleme</t>
  </si>
  <si>
    <t xml:space="preserve">Paketlenmiş hazır gıda</t>
  </si>
  <si>
    <t xml:space="preserve">Yassı çelik tabanlı katma değerli ürün</t>
  </si>
  <si>
    <t xml:space="preserve">Motosiklet, moped ve motorlu bisiklet ile aksam-parçaları</t>
  </si>
  <si>
    <t xml:space="preserve">Savunma sanayii için teknik aksam ve kritik bileşenler</t>
  </si>
  <si>
    <t xml:space="preserve">Bayburt Kop Dağı kayak merkezi konaklama tesisi</t>
  </si>
  <si>
    <t xml:space="preserve">Doğal taş işleme ve katma değerli ürün</t>
  </si>
  <si>
    <t xml:space="preserve">Fonksiyonel gıdalar ve yüksek katma değerli gıda bileşenleri</t>
  </si>
  <si>
    <t xml:space="preserve">Gıdaya yönelik makine ve endüstriyel mutfak ürünleri</t>
  </si>
  <si>
    <t xml:space="preserve">Nitelikli ambalaj ve paketleme ürünleri</t>
  </si>
  <si>
    <t xml:space="preserve">Petrokimya ara girdilerine dayalı yüksek katma değerli ürünler</t>
  </si>
  <si>
    <t xml:space="preserve">Savunma sanayine yönelik metal işleme, mühimmat ve silah parçaları</t>
  </si>
  <si>
    <t xml:space="preserve">Tuz ham maddesinden katma değerli kimyasallar</t>
  </si>
  <si>
    <t xml:space="preserve">Meyve/sebze işleme, kurutma ve paketlenmiş gıda</t>
  </si>
  <si>
    <t xml:space="preserve">Asgari 20 dekar entegre sera tesisi</t>
  </si>
  <si>
    <t xml:space="preserve">Kara taşıtlarının diğer aksam ve parçaları</t>
  </si>
  <si>
    <t xml:space="preserve">Mobilya üretimi</t>
  </si>
  <si>
    <t xml:space="preserve">Yer fıstığı işleme tesisi</t>
  </si>
  <si>
    <t xml:space="preserve">Plastik, kauçuk ve kompozit tabanlı ürün (enerji sektörüne yönelik, AG/güç kabloları izoleli kablo setleri dahil)</t>
  </si>
  <si>
    <t xml:space="preserve">Kara taşıtları aksam ve parçaları</t>
  </si>
  <si>
    <t xml:space="preserve">Deniz araçları kritik parçaları</t>
  </si>
  <si>
    <t xml:space="preserve">Sera malzemeleri ve süs bitkileri için torf toprak üretimi</t>
  </si>
  <si>
    <t xml:space="preserve">Termal kaynak kullanımına dayalı konaklama ve sağlık yatırımları</t>
  </si>
  <si>
    <t xml:space="preserve">Endüstriyel orman ürünleri ile ahşap/kompozit esaslı katma değerli ürün ve mobilya</t>
  </si>
  <si>
    <t xml:space="preserve">Uzun çelik tabanlı katma değerli ürün</t>
  </si>
  <si>
    <t xml:space="preserve">Yüksek performanslı titanyum alaşımları ve yeni nesil çelik</t>
  </si>
  <si>
    <t xml:space="preserve">Üzüm işleme ve üzüm atık/yan ürünlerinden katma değerli ürün</t>
  </si>
  <si>
    <t xml:space="preserve">Çelik tabanlı katma değerli ürün</t>
  </si>
  <si>
    <t xml:space="preserve">Demir-çelik sektörü geri kazanım tesisi</t>
  </si>
  <si>
    <t xml:space="preserve">Fındık ve fındık atık/yan ürünlerinden katma değerli ürün (aktif karbon dahil)</t>
  </si>
  <si>
    <t xml:space="preserve">Tarımsal ürün ve tıbbi-aromatik bitkilerden katma değerli ürün</t>
  </si>
  <si>
    <t xml:space="preserve">Hangi destekler birlikte kullanılabilir?</t>
  </si>
  <si>
    <t xml:space="preserve">Aynı yatırım veya ekipman için. 'Belirsiz' satırları Teyit Listesi'ndedir.</t>
  </si>
  <si>
    <t xml:space="preserve">Destek A</t>
  </si>
  <si>
    <t xml:space="preserve">Destek B</t>
  </si>
  <si>
    <t xml:space="preserve">Birlikte kullanılabilir mi?</t>
  </si>
  <si>
    <t xml:space="preserve">9903 teşviki</t>
  </si>
  <si>
    <t xml:space="preserve">Aynı yatırım/ekipman için birlikte kullanılamaz.</t>
  </si>
  <si>
    <t xml:space="preserve">9903 m.33/1; EVY m.17/A-6</t>
  </si>
  <si>
    <t xml:space="preserve">EPS desteği</t>
  </si>
  <si>
    <t xml:space="preserve">Aynı proje için kamu desteği alınmamış olmalı.</t>
  </si>
  <si>
    <t xml:space="preserve">9903 m.33/1; EPS UE m.5/4</t>
  </si>
  <si>
    <t xml:space="preserve">Aynı yatırım için birlikte kullanılamaz (THP hariç).</t>
  </si>
  <si>
    <t xml:space="preserve">9903 m.33/1-2</t>
  </si>
  <si>
    <t xml:space="preserve">9903 teşviki (THP)</t>
  </si>
  <si>
    <t xml:space="preserve">KOSGEB / TÜBİTAK</t>
  </si>
  <si>
    <t xml:space="preserve">THP yatırımları KOSGEB/TÜBİTAK tarafından da doğrudan desteklenebilir.</t>
  </si>
  <si>
    <t xml:space="preserve">9903 m.33/2</t>
  </si>
  <si>
    <t xml:space="preserve">Başka kurumun sübvansiyonlu kredisi</t>
  </si>
  <si>
    <t xml:space="preserve">Koşullu</t>
  </si>
  <si>
    <t xml:space="preserve">O krediye 9903 faiz/makine desteği verilmez; diğer unsurlar kullanılabilir.</t>
  </si>
  <si>
    <t xml:space="preserve">9903 m.33/1</t>
  </si>
  <si>
    <t xml:space="preserve">Kalkınma ajansı desteği</t>
  </si>
  <si>
    <t xml:space="preserve">Aynı yatırım için başka kamu desteği kullanılamaz.</t>
  </si>
  <si>
    <t xml:space="preserve">Belirsiz</t>
  </si>
  <si>
    <t xml:space="preserve">YEKDEM gelir desteğinin m.33 anlamında 'destek' sayılıp sayılmadığına dair açık hüküm bulunamadı.</t>
  </si>
  <si>
    <t xml:space="preserve">EKA gider bazlı; aynı yıl birlikte kullanım için açık hüküm bulunamadı.</t>
  </si>
  <si>
    <t xml:space="preserve">Aynı proje/ekipman için ikinci kamu desteği yok.</t>
  </si>
  <si>
    <t xml:space="preserve">EVY m.17/A-6; EPS UE m.5/4</t>
  </si>
  <si>
    <t xml:space="preserve">Başka kamu desteği alınan ekipmanla VAP'a başvurulamaz.</t>
  </si>
  <si>
    <t xml:space="preserve">ETKB iki programı tamamlayıcı olarak konumluyor.</t>
  </si>
  <si>
    <t xml:space="preserve">ETKB açıklaması (AA 27.06.2026)</t>
  </si>
  <si>
    <t xml:space="preserve">Lisanssız üretim</t>
  </si>
  <si>
    <t xml:space="preserve">9903 Öncelikli (e)</t>
  </si>
  <si>
    <t xml:space="preserve">Teşvik sözleşme gücüne kadar; lisanssız kurulu güç sanayide 2 kata kadar olabilir.</t>
  </si>
  <si>
    <t xml:space="preserve">9903 m.9/1-e; LÜY m.5/1-h</t>
  </si>
  <si>
    <t xml:space="preserve">Lisanssız ihtiyaç fazlası YEKDEM kapsamında değerlendirilir.</t>
  </si>
  <si>
    <t xml:space="preserve">LÜY m.26</t>
  </si>
  <si>
    <t xml:space="preserve">YEKA</t>
  </si>
  <si>
    <t xml:space="preserve">YEKA tesisi sözleşmedeki mali teklif fiyatına tabidir; katkı payı YEKDEM'e aktarılır.</t>
  </si>
  <si>
    <t xml:space="preserve">GES/RES-2026 şartnameleri m.3.3.7, m.8.1</t>
  </si>
  <si>
    <t xml:space="preserve">İkisi de Dünya Bankası TYSP bileşeni; aynı harcamada birlikte kullanım teyit edilmeli.</t>
  </si>
  <si>
    <t xml:space="preserve">Diğer 9903 programları</t>
  </si>
  <si>
    <t xml:space="preserve">HIT-30 proje bazlı paket; aynı yatırımda ayrı belge beklenmez.</t>
  </si>
  <si>
    <t xml:space="preserve">HIT-30 teşvikler</t>
  </si>
  <si>
    <t xml:space="preserve">Parasal eşikler 2026</t>
  </si>
  <si>
    <t xml:space="preserve">Hesaplanan = baz × (1 + yeniden değerleme oranı). Kullanılacak değer: ilan edilen varsa o, yoksa hesaplanan.</t>
  </si>
  <si>
    <t xml:space="preserve">2025 yeniden değerleme oranı →</t>
  </si>
  <si>
    <t xml:space="preserve">VUK mük. 298; VAP ve EKA 2025→2026 tutarlarıyla birebir doğrulandı (K32).</t>
  </si>
  <si>
    <t xml:space="preserve">Kalem</t>
  </si>
  <si>
    <t xml:space="preserve">Baz tutar (TL)</t>
  </si>
  <si>
    <t xml:space="preserve">2026 ilan edilen (TL)</t>
  </si>
  <si>
    <t xml:space="preserve">Hesaplanan 2026 (TL)</t>
  </si>
  <si>
    <t xml:space="preserve">İlan / hesap farkı</t>
  </si>
  <si>
    <t xml:space="preserve">Kullanılacak 2026 değeri (TL)</t>
  </si>
  <si>
    <t xml:space="preserve">Satır 7 ve 8'deki değerler İller ve Bölgesel Kurallar sayfalarında kullanılır.</t>
  </si>
  <si>
    <t xml:space="preserve">Asgari sabit yatırım · 1-2. bölge</t>
  </si>
  <si>
    <t xml:space="preserve">Asgari sabit yatırım · 3-6. bölge</t>
  </si>
  <si>
    <t xml:space="preserve">Finansal kiralama asgari tutarı</t>
  </si>
  <si>
    <t xml:space="preserve">Stratejik Hamle asgari · yüksek teknoloji</t>
  </si>
  <si>
    <t xml:space="preserve">Stratejik Hamle asgari · diğer</t>
  </si>
  <si>
    <t xml:space="preserve">2026 tutarı ilanda görülmedi; hesaplanan.</t>
  </si>
  <si>
    <t xml:space="preserve">Yeşil/dijital dönüşüm → Stratejik eşiği</t>
  </si>
  <si>
    <t xml:space="preserve">Öncelikli · yüksek teknoloji asgari</t>
  </si>
  <si>
    <t xml:space="preserve">9903 m.9/1-b</t>
  </si>
  <si>
    <t xml:space="preserve">Öncelikli · orta-yüksek teknoloji asgari</t>
  </si>
  <si>
    <t xml:space="preserve">9903 m.9/1-c</t>
  </si>
  <si>
    <t xml:space="preserve">Öncelikli · LNG / yer altı gaz depolama asgari</t>
  </si>
  <si>
    <t xml:space="preserve">Faiz desteği üst sınırı · THP/YKH</t>
  </si>
  <si>
    <t xml:space="preserve">9903 m.15/3-a</t>
  </si>
  <si>
    <t xml:space="preserve">Faiz desteği üst sınırı · Stratejik</t>
  </si>
  <si>
    <t xml:space="preserve">9903 m.15/3-b</t>
  </si>
  <si>
    <t xml:space="preserve">Faiz desteği üst sınırı · Öncelikli</t>
  </si>
  <si>
    <t xml:space="preserve">9903 m.15/3-c</t>
  </si>
  <si>
    <t xml:space="preserve">Faiz desteği üst sınırı · Hedef</t>
  </si>
  <si>
    <t xml:space="preserve">9903 m.15/3-ç</t>
  </si>
  <si>
    <t xml:space="preserve">Makine desteği birim fiyat alt sınırı</t>
  </si>
  <si>
    <t xml:space="preserve">Makine desteği üst sınırı · THP/YKH</t>
  </si>
  <si>
    <t xml:space="preserve">9903 m.16/2-a</t>
  </si>
  <si>
    <t xml:space="preserve">Makine desteği üst sınırı · Stratejik</t>
  </si>
  <si>
    <t xml:space="preserve">9903 m.16/2-b</t>
  </si>
  <si>
    <t xml:space="preserve">VAP hibe üst sınırı (2025 → 2026)</t>
  </si>
  <si>
    <t xml:space="preserve">EVY m.16/2, m.16/4</t>
  </si>
  <si>
    <t xml:space="preserve">K09, K12</t>
  </si>
  <si>
    <t xml:space="preserve">Baz: 2025 ilan tutarı (15 mn TL'nin 2025 değeri).</t>
  </si>
  <si>
    <t xml:space="preserve">EKA hibe üst sınırı (2025 → 2026)</t>
  </si>
  <si>
    <t xml:space="preserve">EVY m.16/3, m.16/4</t>
  </si>
  <si>
    <t xml:space="preserve">Baz: 2025 ilan tutarı (10 mn TL'nin 2025 değeri).</t>
  </si>
  <si>
    <t xml:space="preserve">VAP asgari proje bedeli (01.07.2026'dan)</t>
  </si>
  <si>
    <t xml:space="preserve">VAP · mühendis hazırlarsa azami proje bedeli</t>
  </si>
  <si>
    <t xml:space="preserve">EPS asgari yatırım bedeli</t>
  </si>
  <si>
    <t xml:space="preserve">VAP denetim bedeli · uygulama öncesi (+KDV)</t>
  </si>
  <si>
    <t xml:space="preserve">VAP denetim bedeli · uygulama sonrası (+KDV)</t>
  </si>
  <si>
    <t xml:space="preserve">KOSGEB YSDP · GES üst limiti</t>
  </si>
  <si>
    <t xml:space="preserve">KOSGEB YSDP · temiz ve döngüsel üst limiti</t>
  </si>
  <si>
    <t xml:space="preserve">YEKDEM · 7189 sayılı CBK EK-1 (baz fiyatlar)</t>
  </si>
  <si>
    <t xml:space="preserve">RG 01.05.2023/32177. 01.07.2021-31.12.2030 arasında işletmeye giren YEK belgeli tesisler. Fiyatlar aylık güncellenir; bu tablo baz değerdir.</t>
  </si>
  <si>
    <t xml:space="preserve">Kaynak tipi</t>
  </si>
  <si>
    <t xml:space="preserve">Uygulama fiyatı (TL kuruş/kWh)</t>
  </si>
  <si>
    <t xml:space="preserve">Uygulama fiyatı (TL/kWh)</t>
  </si>
  <si>
    <t xml:space="preserve">Süre (yıl)</t>
  </si>
  <si>
    <t xml:space="preserve">Taban (USD cent/kWh)</t>
  </si>
  <si>
    <t xml:space="preserve">Tavan (USD cent/kWh)</t>
  </si>
  <si>
    <t xml:space="preserve">Yerli katkı (TL kuruş/kWh)</t>
  </si>
  <si>
    <t xml:space="preserve">Yerli katkı süresi (yıl)</t>
  </si>
  <si>
    <t xml:space="preserve">10 yılı dolan lisanssız: %90 fiyat (kuruş, baz)</t>
  </si>
  <si>
    <t xml:space="preserve">Hidroelektrik – rezervuarlı (rezervuar alanı 1–15 km²)</t>
  </si>
  <si>
    <t xml:space="preserve">Hidroelektrik – nehir tipi</t>
  </si>
  <si>
    <t xml:space="preserve">Rüzgâr – karasal</t>
  </si>
  <si>
    <t xml:space="preserve">Rüzgâr – deniz üstü</t>
  </si>
  <si>
    <t xml:space="preserve">Jeotermal</t>
  </si>
  <si>
    <t xml:space="preserve">Biyokütle – çöp gazı / atık lastik işleme yan ürünleri</t>
  </si>
  <si>
    <t xml:space="preserve">Biyokütle – biyometanizasyon</t>
  </si>
  <si>
    <t xml:space="preserve">Biyokütle – termal bertaraf</t>
  </si>
  <si>
    <t xml:space="preserve">Yalnız Karar yayımına (01.05.2023) kadar önlisans alan tesisler</t>
  </si>
  <si>
    <t xml:space="preserve">Güneş</t>
  </si>
  <si>
    <t xml:space="preserve">Rüzgâr/güneş + bütünleşik depolama (depodan verilen enerji)</t>
  </si>
  <si>
    <t xml:space="preserve">Şebekeden çekilip depolanan enerjiye uygulanmaz</t>
  </si>
  <si>
    <t xml:space="preserve">Pompaj depolamalı hidroelektrik</t>
  </si>
  <si>
    <t xml:space="preserve">Usul ve esaslar Bakanlıkça</t>
  </si>
  <si>
    <t xml:space="preserve">Dalga / akıntı</t>
  </si>
  <si>
    <t xml:space="preserve">Güncelleme formülü</t>
  </si>
  <si>
    <t xml:space="preserve">Fiyatlar aylık güncellenir: %25 ÜFE + %15 TÜFE + %30 USD + %30 EUR ağırlıklı formül (EK-2); USD karşılığı taban–tavan bandında tutulur. 1/7/2021–yayım arası için geriye dönük fark ödenmez (m.1/2).</t>
  </si>
  <si>
    <t xml:space="preserve">10 yıl sonrası (lisanssız)</t>
  </si>
  <si>
    <t xml:space="preserve">11415 sayılı CBK (RG 13.06.2026): 10 yılı dolan lisanssız YEK tesisinde ihtiyaç fazlası, aynı tip lisanslı tesisin güncel YEKDEM fiyatının %90'ından görevli tedarik şirketince alınır; saatlik PTF'yi aşamaz. I sütunu baz fiyat üzerinden örnektir; güncel aylık fiyatla hesaplanmalıdır.</t>
  </si>
  <si>
    <t xml:space="preserve">Kaynak: K19, K20</t>
  </si>
  <si>
    <t xml:space="preserve">9903 EK-4 · gümrük muafiyetinden yararlanamayan makineler (enerji ile ilgili olanlar)</t>
  </si>
  <si>
    <t xml:space="preserve">EK-4 toplam 233 kalem; burada enerji yatırımlarını ilgilendirenler ve listede olmadığı doğrulanan başlıca kalemler var. EK-4 makineleri muafiyetsiz ithal edilip SYT'ye dahil edilebilir (m.13/2).</t>
  </si>
  <si>
    <t xml:space="preserve">Tanım</t>
  </si>
  <si>
    <t xml:space="preserve">Gümrük muafiyeti</t>
  </si>
  <si>
    <t xml:space="preserve">Enerji bağlantısı</t>
  </si>
  <si>
    <t xml:space="preserve">7308.20.00.00.00</t>
  </si>
  <si>
    <t xml:space="preserve">Demir veya çelikten kuleler ve pilonlar</t>
  </si>
  <si>
    <t xml:space="preserve">Muafiyet yok</t>
  </si>
  <si>
    <t xml:space="preserve">RES kuleleri, iletim pilonları</t>
  </si>
  <si>
    <t xml:space="preserve">9903 EK-4 (1)</t>
  </si>
  <si>
    <t xml:space="preserve">8414.40.90.00.12</t>
  </si>
  <si>
    <t xml:space="preserve">Çekilebilir pistonlu hava kompresörleri (&gt; 2 m³/dk)</t>
  </si>
  <si>
    <t xml:space="preserve">Basınçlı hava</t>
  </si>
  <si>
    <t xml:space="preserve">9903 EK-4 (4)</t>
  </si>
  <si>
    <t xml:space="preserve">8414.80.19.90.00</t>
  </si>
  <si>
    <t xml:space="preserve">Çok kademeli turbo kompresörler</t>
  </si>
  <si>
    <t xml:space="preserve">Basınçlı hava verimliliği</t>
  </si>
  <si>
    <t xml:space="preserve">9903 EK-4 (5)</t>
  </si>
  <si>
    <t xml:space="preserve">8414.80.22.90.11 / 8414.80.28.90.00 / 8414.80.59.90.00</t>
  </si>
  <si>
    <t xml:space="preserve">Pistonlu kompresörler</t>
  </si>
  <si>
    <t xml:space="preserve">9903 EK-4 (6-8)</t>
  </si>
  <si>
    <t xml:space="preserve">8414.80.73.90.00 / 8414.80.75.90.00</t>
  </si>
  <si>
    <t xml:space="preserve">Döner (tek ve çok şaftlı, vidalı) kompresörler</t>
  </si>
  <si>
    <t xml:space="preserve">9903 EK-4 (9-10)</t>
  </si>
  <si>
    <t xml:space="preserve">8415.82.00.90.00 / 8415.83.00.90.00</t>
  </si>
  <si>
    <t xml:space="preserve">Soğutma ünitesi içeren / içermeyen diğer klima cihazları</t>
  </si>
  <si>
    <t xml:space="preserve">HVAC (tersinir ısı pompalı 8415.81 listede yok)</t>
  </si>
  <si>
    <t xml:space="preserve">9903 EK-4 (11-12)</t>
  </si>
  <si>
    <t xml:space="preserve">8417.10.00.00.12 / 8417.20.10.00.00 / 8417.20.90.00.00</t>
  </si>
  <si>
    <t xml:space="preserve">Elektrikli olmayan ısıl işlem ve tünel fırınlar</t>
  </si>
  <si>
    <t xml:space="preserve">Fırın yenileme (elektrikli fırınlar listede yok)</t>
  </si>
  <si>
    <t xml:space="preserve">9903 EK-4 (13-15)</t>
  </si>
  <si>
    <t xml:space="preserve">8419.35 / 8419.39</t>
  </si>
  <si>
    <t xml:space="preserve">Kurutma cihazları (ağaç, kâğıt vb.; diğer)</t>
  </si>
  <si>
    <t xml:space="preserve">Proses ısısı</t>
  </si>
  <si>
    <t xml:space="preserve">9903 EK-4 (16-17)</t>
  </si>
  <si>
    <t xml:space="preserve">8503.00.98.90.19</t>
  </si>
  <si>
    <t xml:space="preserve">85.01-85.02 makineleri için diğer aksam ve parçalar (döküm hariç)</t>
  </si>
  <si>
    <t xml:space="preserve">Motor/jeneratör parçaları</t>
  </si>
  <si>
    <t xml:space="preserve">9903 EK-4 (112)</t>
  </si>
  <si>
    <t xml:space="preserve">8507.60.00.00.01 … .40</t>
  </si>
  <si>
    <t xml:space="preserve">Lityum iyon akümülatörler (silindirik, prizmatik LFP, pouch, diğer)</t>
  </si>
  <si>
    <t xml:space="preserve">BESS bataryaları</t>
  </si>
  <si>
    <t xml:space="preserve">9903 EK-4 (113-120)</t>
  </si>
  <si>
    <t xml:space="preserve">8514.19.80.00.11</t>
  </si>
  <si>
    <t xml:space="preserve">Sanayide rezistansla ısıtılan diğer ocak ve fırınlar</t>
  </si>
  <si>
    <t xml:space="preserve">Elektrifikasyon</t>
  </si>
  <si>
    <t xml:space="preserve">9903 EK-4 (121)</t>
  </si>
  <si>
    <t xml:space="preserve">8418.61 / 8415.81</t>
  </si>
  <si>
    <t xml:space="preserve">Isı pompaları</t>
  </si>
  <si>
    <t xml:space="preserve">Listede yok → muafiyet uygulanabilir</t>
  </si>
  <si>
    <t xml:space="preserve">9903 EK-4 (kontrol)</t>
  </si>
  <si>
    <t xml:space="preserve">8501 / 8502</t>
  </si>
  <si>
    <t xml:space="preserve">Elektrik motorları, jeneratörler, rüzgâr jeneratörleri</t>
  </si>
  <si>
    <t xml:space="preserve">Motor değişimi, RES</t>
  </si>
  <si>
    <t xml:space="preserve">8504</t>
  </si>
  <si>
    <t xml:space="preserve">Transformatörler, inverterler, statik konvertörler</t>
  </si>
  <si>
    <t xml:space="preserve">GES, BESS, şebeke</t>
  </si>
  <si>
    <t xml:space="preserve">8541.4x</t>
  </si>
  <si>
    <t xml:space="preserve">Fotovoltaik hücre ve modüller</t>
  </si>
  <si>
    <t xml:space="preserve">GES</t>
  </si>
  <si>
    <t xml:space="preserve">8402 / 8403</t>
  </si>
  <si>
    <t xml:space="preserve">Buhar ve sıcak su kazanları</t>
  </si>
  <si>
    <t xml:space="preserve">Kazan yenileme</t>
  </si>
  <si>
    <t xml:space="preserve">Takvim ve açık çağrılar</t>
  </si>
  <si>
    <t xml:space="preserve">Durum sütunu TODAY() ile her açılışta yeniden hesaplanır.</t>
  </si>
  <si>
    <t xml:space="preserve">Başlangıç</t>
  </si>
  <si>
    <t xml:space="preserve">Bitiş</t>
  </si>
  <si>
    <t xml:space="preserve">Olay</t>
  </si>
  <si>
    <t xml:space="preserve">Durum (bugüne göre)</t>
  </si>
  <si>
    <t xml:space="preserve">Yerel Kalkınma Hamlesi 2026 başvuru dönemi</t>
  </si>
  <si>
    <t xml:space="preserve">K31</t>
  </si>
  <si>
    <t xml:space="preserve">Lisanssız üretimde saatlik mahsuplaşmanın piyasa işletmecisine geçtiği hüküm yürürlükte</t>
  </si>
  <si>
    <t xml:space="preserve">10 yılı dolan lisanssız tesislerde ihtiyaç fazlası fiyatı (11415 sayılı CBK)</t>
  </si>
  <si>
    <t xml:space="preserve">VAP'ta yalnız 5 mn TL üzeri projeler kabul ediliyor</t>
  </si>
  <si>
    <t xml:space="preserve">EKA 2026 başvuru dönemi</t>
  </si>
  <si>
    <t xml:space="preserve">YEKA GES-2026 ve RES-2026 ilanı</t>
  </si>
  <si>
    <t xml:space="preserve">TÜBİTAK 1832 2026-2 çağrısı kapanış</t>
  </si>
  <si>
    <t xml:space="preserve">YEKA 2026 yarışma başvurusu</t>
  </si>
  <si>
    <t xml:space="preserve">K23</t>
  </si>
  <si>
    <t xml:space="preserve">Deprem ilçeleri ve Cazibe OSB'lerinde 6. bölge desteği için son müracaat</t>
  </si>
  <si>
    <t xml:space="preserve">VAP oranı: etüt kapsamında %30, etüt dışı %25</t>
  </si>
  <si>
    <t xml:space="preserve">TL tutarların yeniden değerleme ile güncellenmesi</t>
  </si>
  <si>
    <t xml:space="preserve">K02, K09</t>
  </si>
  <si>
    <t xml:space="preserve">EKA izleme dosyası son teslim; ödemeler Temmuz 2027'den itibaren</t>
  </si>
  <si>
    <t xml:space="preserve">2012/3305 belgelerinde uzatılan SGK desteklerinin sonu</t>
  </si>
  <si>
    <t xml:space="preserve">9903 teşvik belgesi müracaatlarının son günü</t>
  </si>
  <si>
    <t xml:space="preserve">YEKDEM (7189) kapsamı için işletmeye giriş son günü</t>
  </si>
  <si>
    <t xml:space="preserve">Kaynaklar</t>
  </si>
  <si>
    <t xml:space="preserve">Diğer sayfalardaki 'Kaynak' sütunu bu kimliklere atıf yapar.</t>
  </si>
  <si>
    <t xml:space="preserve">Tür</t>
  </si>
  <si>
    <t xml:space="preserve">Tarih / sayı</t>
  </si>
  <si>
    <t xml:space="preserve">Bağlantı</t>
  </si>
  <si>
    <t xml:space="preserve">Erişim</t>
  </si>
  <si>
    <t xml:space="preserve">Yatırımlarda Devlet Yardımları Hakkında Karar (9903) — orijinal metin ve ekler</t>
  </si>
  <si>
    <t xml:space="preserve">Resmî Gazete</t>
  </si>
  <si>
    <t xml:space="preserve">RG 30.05.2025 / 32915</t>
  </si>
  <si>
    <t xml:space="preserve">https://www.resmigazete.gov.tr/eskiler/2025/05/20250530-2.pdf</t>
  </si>
  <si>
    <t xml:space="preserve">EK-2 (s.21), EK-3 (s.22-28), EK-4 (s.29-42), EK-5 (s.43-50) taranmış sayfalardan okundu.</t>
  </si>
  <si>
    <t xml:space="preserve">9903 sayılı Karar — konsolide metin</t>
  </si>
  <si>
    <t xml:space="preserve">Mevzuat veri tabanı</t>
  </si>
  <si>
    <t xml:space="preserve">Lexpera, erişim 26.09.2026</t>
  </si>
  <si>
    <t xml:space="preserve">https://www.lexpera.com.tr/mevzuat/cumhurbaskani-kararlari/yatirimlarda-devlet-yardimlari-hakkinda-karar-9903</t>
  </si>
  <si>
    <t xml:space="preserve">Madde metinleri.</t>
  </si>
  <si>
    <t xml:space="preserve">K03</t>
  </si>
  <si>
    <t xml:space="preserve">Kararın Uygulanmasına İlişkin Tebliğ (2025/1) ve değişikliği (2026/1)</t>
  </si>
  <si>
    <t xml:space="preserve">RG 21.06.2025 / 32933; RG 09.04.2026 / 33219</t>
  </si>
  <si>
    <t xml:space="preserve">https://www.resmigazete.gov.tr/eskiler/2025/06/20250621-14.htm</t>
  </si>
  <si>
    <t xml:space="preserve">Uygulama esasları; bu envanterde ayrıntısına girilmedi.</t>
  </si>
  <si>
    <t xml:space="preserve">K04</t>
  </si>
  <si>
    <t xml:space="preserve">2026 yılı 9903 TL tutarları (Sanayi ve Teknoloji Bakanlığı güncellemesi)</t>
  </si>
  <si>
    <t xml:space="preserve">İkincil kaynak</t>
  </si>
  <si>
    <t xml:space="preserve">Teşvik Akademi, 30.01.2026</t>
  </si>
  <si>
    <t xml:space="preserve">https://tesvikakademi.com/haber/2026-yili-yatirim-tesvik-tutarlari-aciklandi/</t>
  </si>
  <si>
    <t xml:space="preserve">Bakanlık metni birincil kaynaktan okunamadı; %25,49 yeniden değerleme ile tutarlı.</t>
  </si>
  <si>
    <t xml:space="preserve">Yerel Yatırım Konuları Listesi Tebliği; EK-1 değişikliği</t>
  </si>
  <si>
    <t xml:space="preserve">RG 09.07.2025 / 32951; EK-1: RG 31.01.2026 / 33154</t>
  </si>
  <si>
    <t xml:space="preserve">https://www.resmigazete.gov.tr/eskiler/2026/01/20260131-13-1.pdf</t>
  </si>
  <si>
    <t xml:space="preserve">81 il × 4 konu; taranmış 20 sayfadan okundu, başlıklar kısaltıldı.</t>
  </si>
  <si>
    <t xml:space="preserve">Yeşil Dönüşüm Destek Programı Uygulama Usul ve Esasları Tebliği</t>
  </si>
  <si>
    <t xml:space="preserve">RG 26.07.2024 / 32613; değişiklik 09.07.2025</t>
  </si>
  <si>
    <t xml:space="preserve">https://www.resmigazete.gov.tr/eskiler/2024/07/20240726-19.htm</t>
  </si>
  <si>
    <t xml:space="preserve">Özet: İSO ve hukuk bülteni; 9903 m.12 ile program sürüyor.</t>
  </si>
  <si>
    <t xml:space="preserve">K07</t>
  </si>
  <si>
    <t xml:space="preserve">Cazibe Merkezleri Programı Kararı (2018/11201) — EK-1 iller</t>
  </si>
  <si>
    <t xml:space="preserve">RG 25.01.2018 / 30312</t>
  </si>
  <si>
    <t xml:space="preserve">https://www.resmigazete.gov.tr/eskiler/2018/01/20180125-2.pdf</t>
  </si>
  <si>
    <t xml:space="preserve">23 il; 9903 geçici m.4 bu listeye atıf yapar.</t>
  </si>
  <si>
    <t xml:space="preserve">K08</t>
  </si>
  <si>
    <t xml:space="preserve">7028 sayılı CBK — Cazibe Merkezleri EK-2 (deprem ilçeleri)</t>
  </si>
  <si>
    <t xml:space="preserve">RG 05.04.2023 / 32154</t>
  </si>
  <si>
    <t xml:space="preserve">https://www.resmigazete.gov.tr/eskiler/2023/04/20230405-9.pdf</t>
  </si>
  <si>
    <t xml:space="preserve">9 il, 65 ilçe; 9903 geçici m.3 bu listeye atıf yapar.</t>
  </si>
  <si>
    <t xml:space="preserve">K09</t>
  </si>
  <si>
    <t xml:space="preserve">Enerji Kaynaklarının ve Enerjinin Kullanımında Verimliliğin Artırılmasına Dair Yönetmelik (EVY)</t>
  </si>
  <si>
    <t xml:space="preserve">RG 27.10.2011 / 28097; son değ. RG 21.09.2024 / 32669</t>
  </si>
  <si>
    <t xml:space="preserve">https://www.lexpera.com.tr/mevzuat/yonetmelikler/enerji-kaynaklarinin-ve-enerjinin-kullaniminda-verimliligin-artirilmasina-dair-yonetmelik-2011-28097-5</t>
  </si>
  <si>
    <t xml:space="preserve">m.9 yükümlülük eşikleri; m.16 oran ve tavanlar; m.17/A kümülasyon.</t>
  </si>
  <si>
    <t xml:space="preserve">VAP Destek Programı Uygulama Usul ve Esasları (VAP UE)</t>
  </si>
  <si>
    <t xml:space="preserve">Resmî belge</t>
  </si>
  <si>
    <t xml:space="preserve">ETKB, 2025</t>
  </si>
  <si>
    <t xml:space="preserve">https://enerji.gov.tr/Media/Dizin/EVCED/tr/EnerjiVerimlili%C4%9Fi/Destekler/dokumanlar/VAP_Destekleri/Verimlilik_Artirici_Proje_(VAP)_Destek_Programi_Hakkinda_Uygulama_Usul_Esaslari.pdf</t>
  </si>
  <si>
    <t xml:space="preserve">ETKB duyurusu — VAP usul ve esaslarında değişiklik</t>
  </si>
  <si>
    <t xml:space="preserve">Resmî duyuru</t>
  </si>
  <si>
    <t xml:space="preserve">Bakan Oluru 12.03.2026 / 389072</t>
  </si>
  <si>
    <t xml:space="preserve">https://enerji.gov.tr/duyuru-detay?id=30609</t>
  </si>
  <si>
    <t xml:space="preserve">5 mn TL alt sınırı, geri ödeme 7/10 yıl, 2027 oranları, 15 mn TL mühendis limiti.</t>
  </si>
  <si>
    <t xml:space="preserve">K12</t>
  </si>
  <si>
    <t xml:space="preserve">ETKB açıklaması (Anadolu Ajansı)</t>
  </si>
  <si>
    <t xml:space="preserve">Resmî açıklama (basın)</t>
  </si>
  <si>
    <t xml:space="preserve">27.06.2026</t>
  </si>
  <si>
    <t xml:space="preserve">https://www.aa.com.tr/tr/ekonomi/enerji-verimliligi-ve-karbon-azaltimina-yeni-hibe-destegi-geliyor/3979586</t>
  </si>
  <si>
    <t xml:space="preserve">2026 VAP 27.092.663 TL; EKA 18.061.775 TL; 20 işletme.</t>
  </si>
  <si>
    <t xml:space="preserve">2026 Yılı VAP Denetim Bedelleri</t>
  </si>
  <si>
    <t xml:space="preserve">ETKB, 31.12.2025</t>
  </si>
  <si>
    <t xml:space="preserve">https://enerji.gov.tr/Media/Dizin/BHIM/tr/Duyurular//2026_Yili_VAP_Denetim_Bedelleri_202512311640.docx</t>
  </si>
  <si>
    <t xml:space="preserve">ETKB duyurusu — EKA Destek Programı başvuruları</t>
  </si>
  <si>
    <t xml:space="preserve">2026 (id 30623)</t>
  </si>
  <si>
    <t xml:space="preserve">https://enerji.gov.tr/duyuru-detay?id=30623</t>
  </si>
  <si>
    <t xml:space="preserve">EKA Destek Programı Uygulama Usul ve Esasları (EKA UE)</t>
  </si>
  <si>
    <t xml:space="preserve">ETKB-EYS-USLE-016 Rev.00, 2026</t>
  </si>
  <si>
    <t xml:space="preserve">https://enerji.gov.tr/Media/Dizin/BHIM/tr/Duyurular//Enerji_ve_Karbon_Azaltim_(EKA)_Destek_Programi_hakkinda_Uygulama_Usul_ve_Esaslari_202606291644.pdf</t>
  </si>
  <si>
    <t xml:space="preserve">EPS ile Uygulanacak Projelerin Desteklenmesine İlişkin Usul ve Esaslar (EPS UE)</t>
  </si>
  <si>
    <t xml:space="preserve">ETKB-EYS-USLE-013 Rev.00, 2026</t>
  </si>
  <si>
    <t xml:space="preserve">https://enerji.gov.tr/Media/Dizin/HIGM/tr/Mevzuat/Enerji_Verimliligi/ENERJI_PERFORMANS_SOZLESMELERI_ILE_UYGULANACAK_PROJELERIN_DESTEKLENMESINE_ILISKIN_USUL_VE_ESASLAR.pdf</t>
  </si>
  <si>
    <t xml:space="preserve">ETKB duyurusu — EPS Destek Programı başvuruları</t>
  </si>
  <si>
    <t xml:space="preserve">2026 (id 30601)</t>
  </si>
  <si>
    <t xml:space="preserve">https://enerji.gov.tr/duyuru-detay?id=30601</t>
  </si>
  <si>
    <t xml:space="preserve">Elektrik Piyasasında Lisanssız Elektrik Üretim Yönetmeliği (LÜY)</t>
  </si>
  <si>
    <t xml:space="preserve">RG 12.05.2019 / 30772; son değ. RG 02.04.2026 / 33212</t>
  </si>
  <si>
    <t xml:space="preserve">https://www.lexpera.com.tr/mevzuat/yonetmelikler/elektrik-piyasasinda-lisanssiz-elektrik-uretim-yonetmeligi</t>
  </si>
  <si>
    <t xml:space="preserve">7189 sayılı CBK — 2021-2030 YEKDEM fiyatları ve süreleri</t>
  </si>
  <si>
    <t xml:space="preserve">RG 01.05.2023 / 32177</t>
  </si>
  <si>
    <t xml:space="preserve">https://www.resmigazete.gov.tr/eskiler/2023/05/20230501-7.pdf</t>
  </si>
  <si>
    <t xml:space="preserve">EK-1 fiyat tablosu, EK-2 güncelleme formülü.</t>
  </si>
  <si>
    <t xml:space="preserve">11415 sayılı CBK — 10 yılı dolan lisanssız tesislerde ihtiyaç fazlası fiyatı</t>
  </si>
  <si>
    <t xml:space="preserve">RG 13.06.2026 / 33279</t>
  </si>
  <si>
    <t xml:space="preserve">https://www.resmigazete.gov.tr/eskiler/2026/06/20260613-3.pdf</t>
  </si>
  <si>
    <t xml:space="preserve">YEKA GES-2026 şartnamesi ve duyurusu</t>
  </si>
  <si>
    <t xml:space="preserve">İlan RG 11.07.2026 / 33307; ETKB id 30627</t>
  </si>
  <si>
    <t xml:space="preserve">https://enerji.gov.tr/duyuru-detay?id=30627</t>
  </si>
  <si>
    <t xml:space="preserve">YEKA RES-2026 şartnamesi ve duyurusu</t>
  </si>
  <si>
    <t xml:space="preserve">İlan RG 11.07.2026 / 33307; ETKB id 30626</t>
  </si>
  <si>
    <t xml:space="preserve">https://enerji.gov.tr/duyuru-detay?id=30626</t>
  </si>
  <si>
    <t xml:space="preserve">Bakan açıklaması — YEKA 2026 yarışmaları (AA)</t>
  </si>
  <si>
    <t xml:space="preserve">Temmuz 2026</t>
  </si>
  <si>
    <t xml:space="preserve">https://www.aa.com.tr/tr/enerjiterminali/genel/bakan-bayraktar-2026-yeka-yarismalariyla-yenilenebilir-enerjide-yeni-bir-yatirim-donemine-kapi-araliyoruz/58274</t>
  </si>
  <si>
    <t xml:space="preserve">Başvuru tarihi 13 Ekim 2026.</t>
  </si>
  <si>
    <t xml:space="preserve">Elektrik Piyasasında Depolama Faaliyetleri Yönetmeliği</t>
  </si>
  <si>
    <t xml:space="preserve">RG 09.05.2021 / 31479 (orijinal); son değ. 01.01.2026</t>
  </si>
  <si>
    <t xml:space="preserve">https://www.resmigazete.gov.tr/eskiler/2021/05/20210509-3.htm</t>
  </si>
  <si>
    <t xml:space="preserve">Konsolide metne erişilemedi; orijinal metin kullanıldı.</t>
  </si>
  <si>
    <t xml:space="preserve">HIT-30 Yüksek Teknoloji Yatırım Programı — resmî site</t>
  </si>
  <si>
    <t xml:space="preserve">Resmî sayfa</t>
  </si>
  <si>
    <t xml:space="preserve">https://hit30.sanayi.gov.tr/cagrilar</t>
  </si>
  <si>
    <t xml:space="preserve">Çağrılar, teşvikler, sektörler sayfaları.</t>
  </si>
  <si>
    <t xml:space="preserve">https://www.kosgeb.gov.tr/site/tr/genel/destekdetay/9022/yesil-sanayi-destek-programi</t>
  </si>
  <si>
    <t xml:space="preserve">K27</t>
  </si>
  <si>
    <t xml:space="preserve">KOSGEB — 'Yürürlükten Kaldırılan Destekler' altında</t>
  </si>
  <si>
    <t xml:space="preserve">https://www.kosgeb.gov.tr/site/tr/genel/destekdetay/8202/kobi-enerji-verimliligi-destek-programi</t>
  </si>
  <si>
    <t xml:space="preserve">K28</t>
  </si>
  <si>
    <t xml:space="preserve">KOSGEB güncel destek programları listesi</t>
  </si>
  <si>
    <t xml:space="preserve">https://www.kosgeb.gov.tr/site/tr/genel/destekler/3/destekler</t>
  </si>
  <si>
    <t xml:space="preserve">TÜBİTAK 1832 Sanayide Yeşil Dönüşüm 2026-2 çağrısı</t>
  </si>
  <si>
    <t xml:space="preserve">TÜBİTAK</t>
  </si>
  <si>
    <t xml:space="preserve">https://tubitak.gov.tr/tr/destekler/destek/sanayi/ulusal-destek-programlari/cagri-1832-sanayide-yesil-donusum-2026-2-cagrisi-basvuruya-acildi</t>
  </si>
  <si>
    <t xml:space="preserve">Kalkınma ajansları ofis ve yatırım destek ofisi bilgileri</t>
  </si>
  <si>
    <t xml:space="preserve">ka.gov.tr</t>
  </si>
  <si>
    <t xml:space="preserve">https://ka.gov.tr/</t>
  </si>
  <si>
    <t xml:space="preserve">Yerel Kalkınma Hamlesi 2026 başvuru dönemi (basın)</t>
  </si>
  <si>
    <t xml:space="preserve">AA / TRT, 2026</t>
  </si>
  <si>
    <t xml:space="preserve">https://www.aa.com.tr/tr/ekonomi/yerelde-kalkinma-destekleri-81-ilin-cevherlerini-ortaya-cikaracak/3910357</t>
  </si>
  <si>
    <t xml:space="preserve">2 Mart – 15 Mayıs 2026.</t>
  </si>
  <si>
    <t xml:space="preserve">K32</t>
  </si>
  <si>
    <t xml:space="preserve">2025 yılı yeniden değerleme oranı %25,49</t>
  </si>
  <si>
    <t xml:space="preserve">İkincil kaynak + çapraz kontrol</t>
  </si>
  <si>
    <t xml:space="preserve">VUK mük. 298</t>
  </si>
  <si>
    <t xml:space="preserve">ETKB'nin 2025→2026 VAP (21.589.500→27.092.663) ve EKA (14.393.000→18.061.775) tutarları ×1,2549 ile birebir tutuyor.</t>
  </si>
  <si>
    <t xml:space="preserve">Teyit bekleyen bilgiler</t>
  </si>
  <si>
    <t xml:space="preserve">Durum sütunu kullanıcı içindir (açılır liste).</t>
  </si>
  <si>
    <t xml:space="preserve">Konu</t>
  </si>
  <si>
    <t xml:space="preserve">Neden</t>
  </si>
  <si>
    <t xml:space="preserve">Nasıl teyit edilir</t>
  </si>
  <si>
    <t xml:space="preserve">İlgili sayfa</t>
  </si>
  <si>
    <t xml:space="preserve">T-01</t>
  </si>
  <si>
    <t xml:space="preserve">9903 kapsamındaki 2026 TL tutarları</t>
  </si>
  <si>
    <t xml:space="preserve">Bakanlığın güncelleme metni birincil kaynaktan okunamadı; ikincil kaynak + %25,49 çapraz kontrol.</t>
  </si>
  <si>
    <t xml:space="preserve">sanayi.gov.tr teşvik mevzuatı / E-TUYS duyurusu ile karşılaştır.</t>
  </si>
  <si>
    <t xml:space="preserve">Parasal Eşikler 2026</t>
  </si>
  <si>
    <t xml:space="preserve">T-02</t>
  </si>
  <si>
    <t xml:space="preserve">Stratejik 'diğer' asgari, Hedef faiz limiti, makine desteği limitleri, LNG eşiği (2026)</t>
  </si>
  <si>
    <t xml:space="preserve">İlanda görülmedi; baz × 1,2549 ile hesaplandı.</t>
  </si>
  <si>
    <t xml:space="preserve">Bakanlık tutar listesi.</t>
  </si>
  <si>
    <t xml:space="preserve">T-03</t>
  </si>
  <si>
    <t xml:space="preserve">EPS desteğinde 2026 azami tutar</t>
  </si>
  <si>
    <t xml:space="preserve">UE 'başvuru yılında belirlenen azami tutar' diyor; ilanda rakam yok.</t>
  </si>
  <si>
    <t xml:space="preserve">ETKB'den teyit.</t>
  </si>
  <si>
    <t xml:space="preserve">Destek Unsurları</t>
  </si>
  <si>
    <t xml:space="preserve">T-04</t>
  </si>
  <si>
    <t xml:space="preserve">KOSGEB YSDP çağrılarının 2026 durumu</t>
  </si>
  <si>
    <t xml:space="preserve">Sayfada 2023-01/02 çağrıları 'yürürlükte' görünüyor.</t>
  </si>
  <si>
    <t xml:space="preserve">KOSGEB e-Hizmetler / il müdürlüğü.</t>
  </si>
  <si>
    <t xml:space="preserve">T-05</t>
  </si>
  <si>
    <t xml:space="preserve">Depolama Faaliyetleri Yönetmeliğinin güncel metni</t>
  </si>
  <si>
    <t xml:space="preserve">Konsolide metne erişilemedi; 2021 orijinal metni kullanıldı (son değ. 01.01.2026).</t>
  </si>
  <si>
    <t xml:space="preserve">mevzuat.gov.tr konsolide metin.</t>
  </si>
  <si>
    <t xml:space="preserve">Uygunluk Kuralları</t>
  </si>
  <si>
    <t xml:space="preserve">T-06</t>
  </si>
  <si>
    <t xml:space="preserve">Isı pompasının VAP geri ödeme sınırı (7 mi 10 yıl mı)</t>
  </si>
  <si>
    <t xml:space="preserve">Toprak/jeotermal kaynaklı ısı pompasının 'YEK kaynaklı ısı' sayılıp sayılmadığına dair hüküm yok.</t>
  </si>
  <si>
    <t xml:space="preserve">ETKB Enerji Verimliliği ve Çevre Dairesi.</t>
  </si>
  <si>
    <t xml:space="preserve">Yatırım Türü Matrisi</t>
  </si>
  <si>
    <t xml:space="preserve">T-07</t>
  </si>
  <si>
    <t xml:space="preserve">9903 ile YEKDEM / EKA / YEKA'nın birlikte kullanımı</t>
  </si>
  <si>
    <t xml:space="preserve">m.33 anlamında 'destek' kapsamına dair açık hüküm yok.</t>
  </si>
  <si>
    <t xml:space="preserve">Sanayi ve Teknoloji Bakanlığı görüşü.</t>
  </si>
  <si>
    <t xml:space="preserve">T-08</t>
  </si>
  <si>
    <t xml:space="preserve">Enerjisa dağıtım bölgeleri (LÜY m.37/10)</t>
  </si>
  <si>
    <t xml:space="preserve">İl listesi şirket bilgisine dayanıyor.</t>
  </si>
  <si>
    <t xml:space="preserve">Şirket içi teyit.</t>
  </si>
  <si>
    <t xml:space="preserve">İller</t>
  </si>
  <si>
    <t xml:space="preserve">T-09</t>
  </si>
  <si>
    <t xml:space="preserve">Cazibe EK-1 ve deprem EK-2 listelerinde 2023 sonrası değişiklik</t>
  </si>
  <si>
    <t xml:space="preserve">Orijinal RG metinleri kullanıldı.</t>
  </si>
  <si>
    <t xml:space="preserve">Konsolide 2018/11201 metni.</t>
  </si>
  <si>
    <t xml:space="preserve">T-10</t>
  </si>
  <si>
    <t xml:space="preserve">YKH 2026 başvuru dönemi</t>
  </si>
  <si>
    <t xml:space="preserve">Basın kaynağı.</t>
  </si>
  <si>
    <t xml:space="preserve">ka.gov.tr duyurusu.</t>
  </si>
  <si>
    <t xml:space="preserve">Takvim ve Çağrılar</t>
  </si>
  <si>
    <t xml:space="preserve">T-11</t>
  </si>
  <si>
    <t xml:space="preserve">YEKA 2026 başvuru tarihi (13.10.2026)</t>
  </si>
  <si>
    <t xml:space="preserve">Bakan açıklaması (AA); RG ilanı taranmış görüntü.</t>
  </si>
  <si>
    <t xml:space="preserve">RG 11.07.2026 ilan metni.</t>
  </si>
  <si>
    <t xml:space="preserve">T-12</t>
  </si>
  <si>
    <t xml:space="preserve">5346 m.8 arazi/izin bedeli indirimleri</t>
  </si>
  <si>
    <t xml:space="preserve">Bu envanterde araştırılmadı; süre sınırı olabilir.</t>
  </si>
  <si>
    <t xml:space="preserve">5346 konsolide metin.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</si>
</sst>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#,##0"/>
    <numFmt numFmtId="167" formatCode="00"/>
    <numFmt numFmtId="168" formatCode="0.00%"/>
    <numFmt numFmtId="169" formatCode="\+0.0%;\-0.0%;0.0%"/>
    <numFmt numFmtId="170" formatCode="0.00"/>
    <numFmt numFmtId="171" formatCode="0.0000"/>
    <numFmt numFmtId="172" formatCode="dd\.mm\.yy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3"/>
      <name val="Arial"/>
      <family val="0"/>
      <charset val="1"/>
    </font>
    <font>
      <i val="true"/>
      <sz val="10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F1B2A"/>
      <name val="Arial"/>
      <family val="0"/>
      <charset val="1"/>
    </font>
    <font>
      <sz val="10"/>
      <color rgb="FF0F1B2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A6D9C"/>
      <name val="Arial"/>
      <family val="0"/>
      <charset val="1"/>
    </font>
    <font>
      <b val="true"/>
      <sz val="9"/>
      <color rgb="FF0B7A6E"/>
      <name val="Arial"/>
      <family val="0"/>
      <charset val="1"/>
    </font>
    <font>
      <b val="true"/>
      <sz val="9"/>
      <color rgb="FF8F5200"/>
      <name val="Arial"/>
      <family val="0"/>
      <charset val="1"/>
    </font>
    <font>
      <b val="true"/>
      <sz val="9"/>
      <color rgb="FF6941C6"/>
      <name val="Arial"/>
      <family val="0"/>
      <charset val="1"/>
    </font>
    <font>
      <b val="true"/>
      <sz val="9"/>
      <color rgb="FF475467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9"/>
      <color rgb="FF7A8699"/>
      <name val="Arial"/>
      <family val="0"/>
      <charset val="1"/>
    </font>
    <font>
      <u val="single"/>
      <sz val="10"/>
      <color rgb="FF1F4FD1"/>
      <name val="Arial"/>
      <family val="0"/>
      <charset val="1"/>
    </font>
    <font>
      <sz val="8"/>
      <color rgb="FF7A8699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1F33"/>
        <bgColor rgb="FF0F1B2A"/>
      </patternFill>
    </fill>
    <fill>
      <patternFill patternType="solid">
        <fgColor rgb="FF1D3048"/>
        <bgColor rgb="FF0B1F33"/>
      </patternFill>
    </fill>
    <fill>
      <patternFill patternType="solid">
        <fgColor rgb="FFE6F1FB"/>
        <bgColor rgb="FFE5F3F0"/>
      </patternFill>
    </fill>
    <fill>
      <patternFill patternType="solid">
        <fgColor rgb="FFE5F3F0"/>
        <bgColor rgb="FFE6F1FB"/>
      </patternFill>
    </fill>
    <fill>
      <patternFill patternType="solid">
        <fgColor rgb="FFFFF3DC"/>
        <bgColor rgb="FFFFF5E8"/>
      </patternFill>
    </fill>
    <fill>
      <patternFill patternType="solid">
        <fgColor rgb="FFF3EFFE"/>
        <bgColor rgb="FFEEF1F4"/>
      </patternFill>
    </fill>
    <fill>
      <patternFill patternType="solid">
        <fgColor rgb="FFEEF1F4"/>
        <bgColor rgb="FFF3EFFE"/>
      </patternFill>
    </fill>
    <fill>
      <patternFill patternType="solid">
        <fgColor rgb="FFFFF2CC"/>
        <bgColor rgb="FFFFF3DC"/>
      </patternFill>
    </fill>
    <fill>
      <patternFill patternType="solid">
        <fgColor rgb="FFFFF8E6"/>
        <bgColor rgb="FFFFF5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  <border diagonalUp="false" diagonalDown="false">
      <left style="thin">
        <color rgb="FFD5DCE4"/>
      </left>
      <right/>
      <top style="thin">
        <color rgb="FFD5DCE4"/>
      </top>
      <bottom style="thin">
        <color rgb="FFD5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8">
    <dxf>
      <fill>
        <patternFill patternType="solid">
          <fgColor rgb="FF0B1F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F1B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DF0EF"/>
          <bgColor rgb="FF000000"/>
        </patternFill>
      </fill>
    </dxf>
    <dxf>
      <fill>
        <patternFill patternType="solid">
          <fgColor rgb="FFFFF3DC"/>
          <bgColor rgb="FF000000"/>
        </patternFill>
      </fill>
    </dxf>
    <dxf>
      <fill>
        <patternFill patternType="solid">
          <fgColor rgb="FFFFF5E8"/>
          <bgColor rgb="FF000000"/>
        </patternFill>
      </fill>
    </dxf>
    <dxf>
      <fill>
        <patternFill patternType="solid">
          <fgColor rgb="FFB42318"/>
          <bgColor rgb="FF000000"/>
        </patternFill>
      </fill>
    </dxf>
    <dxf>
      <fill>
        <patternFill patternType="solid">
          <fgColor rgb="FFB54708"/>
          <bgColor rgb="FF000000"/>
        </patternFill>
      </fill>
    </dxf>
    <dxf>
      <fill>
        <patternFill patternType="solid">
          <fgColor rgb="FF1D3048"/>
          <bgColor rgb="FF000000"/>
        </patternFill>
      </fill>
    </dxf>
    <dxf>
      <fill>
        <patternFill patternType="solid">
          <fgColor rgb="FFE6F1FB"/>
          <bgColor rgb="FF000000"/>
        </patternFill>
      </fill>
    </dxf>
    <dxf>
      <fill>
        <patternFill patternType="solid">
          <fgColor rgb="FFEEF1F4"/>
          <bgColor rgb="FF000000"/>
        </patternFill>
      </fill>
    </dxf>
    <dxf>
      <fill>
        <patternFill patternType="solid">
          <fgColor rgb="FF0A6D9C"/>
          <bgColor rgb="FF000000"/>
        </patternFill>
      </fill>
    </dxf>
    <dxf>
      <fill>
        <patternFill patternType="solid">
          <fgColor rgb="FF475467"/>
          <bgColor rgb="FF000000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F0EF"/>
        </patternFill>
      </fill>
    </dxf>
    <dxf>
      <font>
        <name val="Arial"/>
        <charset val="1"/>
        <family val="0"/>
        <b val="1"/>
        <color rgb="FFB54708"/>
      </font>
      <fill>
        <patternFill>
          <bgColor rgb="FFFFF5E8"/>
        </patternFill>
      </fill>
    </dxf>
    <dxf>
      <fill>
        <patternFill>
          <bgColor rgb="FFFFF3DC"/>
        </patternFill>
      </fill>
    </dxf>
    <dxf>
      <fill>
        <patternFill patternType="solid">
          <fgColor rgb="FFE5F3F0"/>
          <bgColor rgb="FF000000"/>
        </patternFill>
      </fill>
    </dxf>
    <dxf>
      <fill>
        <patternFill patternType="solid">
          <fgColor rgb="FF0B7A6E"/>
          <bgColor rgb="FF000000"/>
        </patternFill>
      </fill>
    </dxf>
    <dxf>
      <fill>
        <patternFill patternType="solid">
          <fgColor rgb="FF8F5200"/>
          <bgColor rgb="FF000000"/>
        </patternFill>
      </fill>
    </dxf>
    <dxf>
      <fill>
        <patternFill patternType="solid">
          <fgColor rgb="FFECF7F0"/>
          <bgColor rgb="FF000000"/>
        </patternFill>
      </fill>
    </dxf>
    <dxf>
      <fill>
        <patternFill patternType="solid">
          <fgColor rgb="FF067647"/>
          <bgColor rgb="FF000000"/>
        </patternFill>
      </fill>
    </dxf>
    <dxf>
      <font>
        <name val="Arial"/>
        <charset val="1"/>
        <family val="0"/>
        <b val="1"/>
        <color rgb="FF067647"/>
      </font>
      <fill>
        <patternFill>
          <bgColor rgb="FFECF7F0"/>
        </patternFill>
      </fill>
    </dxf>
    <dxf>
      <font>
        <name val="Arial"/>
        <charset val="1"/>
        <family val="0"/>
        <b val="1"/>
        <color rgb="FF067647"/>
        <sz val="12"/>
      </font>
      <fill>
        <patternFill>
          <bgColor rgb="FFECF7F0"/>
        </patternFill>
      </fill>
    </dxf>
    <dxf>
      <font>
        <name val="Arial"/>
        <charset val="1"/>
        <family val="0"/>
        <b val="1"/>
        <color rgb="FFB54708"/>
        <sz val="12"/>
      </font>
      <fill>
        <patternFill>
          <bgColor rgb="FFFFF5E8"/>
        </patternFill>
      </fill>
    </dxf>
    <dxf>
      <font>
        <name val="Arial"/>
        <charset val="1"/>
        <family val="0"/>
        <b val="1"/>
        <color rgb="FFB42318"/>
        <sz val="12"/>
      </font>
      <fill>
        <patternFill>
          <bgColor rgb="FFFDF0EF"/>
        </patternFill>
      </fill>
    </dxf>
    <dxf>
      <font>
        <name val="Arial"/>
        <charset val="1"/>
        <family val="0"/>
        <b val="1"/>
        <color rgb="FF98A2B3"/>
        <sz val="12"/>
      </font>
      <fill>
        <patternFill>
          <bgColor rgb="FFF5F7FA"/>
        </patternFill>
      </fill>
    </dxf>
    <dxf>
      <fill>
        <patternFill patternType="solid">
          <fgColor rgb="FF7A8699"/>
          <bgColor rgb="FF000000"/>
        </patternFill>
      </fill>
    </dxf>
    <dxf>
      <fill>
        <patternFill patternType="solid">
          <fgColor rgb="FF1F4FD1"/>
          <bgColor rgb="FF000000"/>
        </patternFill>
      </fill>
    </dxf>
    <dxf>
      <fill>
        <patternFill>
          <bgColor rgb="FFECF7F0"/>
        </patternFill>
      </fill>
    </dxf>
    <dxf>
      <fill>
        <patternFill>
          <bgColor rgb="FFFDF0EF"/>
        </patternFill>
      </fill>
    </dxf>
    <dxf>
      <font>
        <name val="Arial"/>
        <charset val="1"/>
        <family val="0"/>
        <b val="1"/>
        <color rgb="FF0B7A6E"/>
      </font>
      <fill>
        <patternFill>
          <bgColor rgb="FFE5F3F0"/>
        </patternFill>
      </fill>
    </dxf>
    <dxf>
      <font>
        <name val="Arial"/>
        <charset val="1"/>
        <family val="0"/>
        <b val="1"/>
        <color rgb="FF475467"/>
      </font>
      <fill>
        <patternFill>
          <bgColor rgb="FFEEF1F4"/>
        </patternFill>
      </fill>
    </dxf>
    <dxf>
      <fill>
        <patternFill patternType="solid">
          <fgColor rgb="FF98A2B3"/>
          <bgColor rgb="FF000000"/>
        </patternFill>
      </fill>
    </dxf>
    <dxf>
      <font>
        <name val="Arial"/>
        <charset val="1"/>
        <family val="0"/>
        <color rgb="FF98A2B3"/>
      </font>
    </dxf>
    <dxf>
      <fill>
        <patternFill patternType="solid">
          <fgColor rgb="FFFFF8E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8E6"/>
      <rgbColor rgb="FFFF00FF"/>
      <rgbColor rgb="FF00FFFF"/>
      <rgbColor rgb="FF800000"/>
      <rgbColor rgb="FF008000"/>
      <rgbColor rgb="FF000080"/>
      <rgbColor rgb="FF8F5200"/>
      <rgbColor rgb="FF800080"/>
      <rgbColor rgb="FF0B7A6E"/>
      <rgbColor rgb="FFEEF1F4"/>
      <rgbColor rgb="FF7A8699"/>
      <rgbColor rgb="FF9999FF"/>
      <rgbColor rgb="FFB54708"/>
      <rgbColor rgb="FFFFF2CC"/>
      <rgbColor rgb="FFE5F3F0"/>
      <rgbColor rgb="FF660066"/>
      <rgbColor rgb="FFFF8080"/>
      <rgbColor rgb="FF0A6D9C"/>
      <rgbColor rgb="FFD5DCE4"/>
      <rgbColor rgb="FF000080"/>
      <rgbColor rgb="FFFF00FF"/>
      <rgbColor rgb="FFFFFF00"/>
      <rgbColor rgb="FF00FFFF"/>
      <rgbColor rgb="FF800080"/>
      <rgbColor rgb="FF800000"/>
      <rgbColor rgb="FF067647"/>
      <rgbColor rgb="FF0000FF"/>
      <rgbColor rgb="FF00CCFF"/>
      <rgbColor rgb="FFE6F1FB"/>
      <rgbColor rgb="FFECF7F0"/>
      <rgbColor rgb="FFFFF3DC"/>
      <rgbColor rgb="FFF3EFFE"/>
      <rgbColor rgb="FFFFF5E8"/>
      <rgbColor rgb="FFF5F7FA"/>
      <rgbColor rgb="FFFDF0EF"/>
      <rgbColor rgb="FF1F4FD1"/>
      <rgbColor rgb="FF33CCCC"/>
      <rgbColor rgb="FF99CC00"/>
      <rgbColor rgb="FFFFCC00"/>
      <rgbColor rgb="FFFF9900"/>
      <rgbColor rgb="FFFF6600"/>
      <rgbColor rgb="FF475467"/>
      <rgbColor rgb="FF98A2B3"/>
      <rgbColor rgb="FF0B1F33"/>
      <rgbColor rgb="FF339966"/>
      <rgbColor rgb="FF0F1B2A"/>
      <rgbColor rgb="FF333300"/>
      <rgbColor rgb="FFB42318"/>
      <rgbColor rgb="FF993366"/>
      <rgbColor rgb="FF6941C6"/>
      <rgbColor rgb="FF1D30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cka.gov.tr/" TargetMode="External"/><Relationship Id="rId2" Type="http://schemas.openxmlformats.org/officeDocument/2006/relationships/hyperlink" Target="https://www.ika.org.tr/" TargetMode="External"/><Relationship Id="rId3" Type="http://schemas.openxmlformats.org/officeDocument/2006/relationships/hyperlink" Target="https://zafer.gov.tr/" TargetMode="External"/><Relationship Id="rId4" Type="http://schemas.openxmlformats.org/officeDocument/2006/relationships/hyperlink" Target="https://www.serka.gov.tr/" TargetMode="External"/><Relationship Id="rId5" Type="http://schemas.openxmlformats.org/officeDocument/2006/relationships/hyperlink" Target="https://www.oka.gov.tr/" TargetMode="External"/><Relationship Id="rId6" Type="http://schemas.openxmlformats.org/officeDocument/2006/relationships/hyperlink" Target="https://www.ankaraka.org.tr//" TargetMode="External"/><Relationship Id="rId7" Type="http://schemas.openxmlformats.org/officeDocument/2006/relationships/hyperlink" Target="https://www.baka.gov.tr/" TargetMode="External"/><Relationship Id="rId8" Type="http://schemas.openxmlformats.org/officeDocument/2006/relationships/hyperlink" Target="https://www.doka.org.tr/" TargetMode="External"/><Relationship Id="rId9" Type="http://schemas.openxmlformats.org/officeDocument/2006/relationships/hyperlink" Target="https://geka.gov.tr/" TargetMode="External"/><Relationship Id="rId10" Type="http://schemas.openxmlformats.org/officeDocument/2006/relationships/hyperlink" Target="https://www.gmka.gov.tr/" TargetMode="External"/><Relationship Id="rId11" Type="http://schemas.openxmlformats.org/officeDocument/2006/relationships/hyperlink" Target="https://www.bebka.org.tr/" TargetMode="External"/><Relationship Id="rId12" Type="http://schemas.openxmlformats.org/officeDocument/2006/relationships/hyperlink" Target="https://fka.gov.tr//" TargetMode="External"/><Relationship Id="rId13" Type="http://schemas.openxmlformats.org/officeDocument/2006/relationships/hyperlink" Target="https://daka.gov.tr//" TargetMode="External"/><Relationship Id="rId14" Type="http://schemas.openxmlformats.org/officeDocument/2006/relationships/hyperlink" Target="http://www.marka.org.tr/" TargetMode="External"/><Relationship Id="rId15" Type="http://schemas.openxmlformats.org/officeDocument/2006/relationships/hyperlink" Target="https://www.baka.gov.tr/" TargetMode="External"/><Relationship Id="rId16" Type="http://schemas.openxmlformats.org/officeDocument/2006/relationships/hyperlink" Target="https://www.bebka.org.tr/" TargetMode="External"/><Relationship Id="rId17" Type="http://schemas.openxmlformats.org/officeDocument/2006/relationships/hyperlink" Target="https://www.gmka.gov.tr/" TargetMode="External"/><Relationship Id="rId18" Type="http://schemas.openxmlformats.org/officeDocument/2006/relationships/hyperlink" Target="https://www.kuzka.gov.tr/" TargetMode="External"/><Relationship Id="rId19" Type="http://schemas.openxmlformats.org/officeDocument/2006/relationships/hyperlink" Target="https://www.oka.gov.tr/" TargetMode="External"/><Relationship Id="rId20" Type="http://schemas.openxmlformats.org/officeDocument/2006/relationships/hyperlink" Target="https://geka.gov.tr/" TargetMode="External"/><Relationship Id="rId21" Type="http://schemas.openxmlformats.org/officeDocument/2006/relationships/hyperlink" Target="https://www.karacadag.gov.tr/" TargetMode="External"/><Relationship Id="rId22" Type="http://schemas.openxmlformats.org/officeDocument/2006/relationships/hyperlink" Target="https://www.trakyaka.org.tr/" TargetMode="External"/><Relationship Id="rId23" Type="http://schemas.openxmlformats.org/officeDocument/2006/relationships/hyperlink" Target="https://fka.gov.tr//" TargetMode="External"/><Relationship Id="rId24" Type="http://schemas.openxmlformats.org/officeDocument/2006/relationships/hyperlink" Target="https://www.kudaka.org.tr/" TargetMode="External"/><Relationship Id="rId25" Type="http://schemas.openxmlformats.org/officeDocument/2006/relationships/hyperlink" Target="https://www.kudaka.org.tr/" TargetMode="External"/><Relationship Id="rId26" Type="http://schemas.openxmlformats.org/officeDocument/2006/relationships/hyperlink" Target="https://www.bebka.org.tr/" TargetMode="External"/><Relationship Id="rId27" Type="http://schemas.openxmlformats.org/officeDocument/2006/relationships/hyperlink" Target="https://www.ika.org.tr/" TargetMode="External"/><Relationship Id="rId28" Type="http://schemas.openxmlformats.org/officeDocument/2006/relationships/hyperlink" Target="https://www.doka.org.tr/" TargetMode="External"/><Relationship Id="rId29" Type="http://schemas.openxmlformats.org/officeDocument/2006/relationships/hyperlink" Target="https://www.doka.org.tr/" TargetMode="External"/><Relationship Id="rId30" Type="http://schemas.openxmlformats.org/officeDocument/2006/relationships/hyperlink" Target="https://daka.gov.tr//" TargetMode="External"/><Relationship Id="rId31" Type="http://schemas.openxmlformats.org/officeDocument/2006/relationships/hyperlink" Target="https://www.dogaka.gov.tr/" TargetMode="External"/><Relationship Id="rId32" Type="http://schemas.openxmlformats.org/officeDocument/2006/relationships/hyperlink" Target="https://www.baka.gov.tr/" TargetMode="External"/><Relationship Id="rId33" Type="http://schemas.openxmlformats.org/officeDocument/2006/relationships/hyperlink" Target="https://www.cka.gov.tr/" TargetMode="External"/><Relationship Id="rId34" Type="http://schemas.openxmlformats.org/officeDocument/2006/relationships/hyperlink" Target="https://www.istka.org.tr/" TargetMode="External"/><Relationship Id="rId35" Type="http://schemas.openxmlformats.org/officeDocument/2006/relationships/hyperlink" Target="https://izka.org.tr/" TargetMode="External"/><Relationship Id="rId36" Type="http://schemas.openxmlformats.org/officeDocument/2006/relationships/hyperlink" Target="https://www.serka.gov.tr/" TargetMode="External"/><Relationship Id="rId37" Type="http://schemas.openxmlformats.org/officeDocument/2006/relationships/hyperlink" Target="https://www.kuzka.gov.tr/" TargetMode="External"/><Relationship Id="rId38" Type="http://schemas.openxmlformats.org/officeDocument/2006/relationships/hyperlink" Target="https://www.oran.gov.tr/" TargetMode="External"/><Relationship Id="rId39" Type="http://schemas.openxmlformats.org/officeDocument/2006/relationships/hyperlink" Target="https://www.trakyaka.org.tr/" TargetMode="External"/><Relationship Id="rId40" Type="http://schemas.openxmlformats.org/officeDocument/2006/relationships/hyperlink" Target="https://www.ahika.gov.tr/" TargetMode="External"/><Relationship Id="rId41" Type="http://schemas.openxmlformats.org/officeDocument/2006/relationships/hyperlink" Target="http://www.marka.org.tr/" TargetMode="External"/><Relationship Id="rId42" Type="http://schemas.openxmlformats.org/officeDocument/2006/relationships/hyperlink" Target="https://www.mevka.org.tr/" TargetMode="External"/><Relationship Id="rId43" Type="http://schemas.openxmlformats.org/officeDocument/2006/relationships/hyperlink" Target="https://zafer.gov.tr/" TargetMode="External"/><Relationship Id="rId44" Type="http://schemas.openxmlformats.org/officeDocument/2006/relationships/hyperlink" Target="https://fka.gov.tr//" TargetMode="External"/><Relationship Id="rId45" Type="http://schemas.openxmlformats.org/officeDocument/2006/relationships/hyperlink" Target="https://zafer.gov.tr/" TargetMode="External"/><Relationship Id="rId46" Type="http://schemas.openxmlformats.org/officeDocument/2006/relationships/hyperlink" Target="https://www.dogaka.gov.tr/" TargetMode="External"/><Relationship Id="rId47" Type="http://schemas.openxmlformats.org/officeDocument/2006/relationships/hyperlink" Target="https://www.dika.gov.tr/" TargetMode="External"/><Relationship Id="rId48" Type="http://schemas.openxmlformats.org/officeDocument/2006/relationships/hyperlink" Target="https://geka.gov.tr/" TargetMode="External"/><Relationship Id="rId49" Type="http://schemas.openxmlformats.org/officeDocument/2006/relationships/hyperlink" Target="https://daka.gov.tr//" TargetMode="External"/><Relationship Id="rId50" Type="http://schemas.openxmlformats.org/officeDocument/2006/relationships/hyperlink" Target="https://www.ahika.gov.tr/" TargetMode="External"/><Relationship Id="rId51" Type="http://schemas.openxmlformats.org/officeDocument/2006/relationships/hyperlink" Target="https://www.ahika.gov.tr/" TargetMode="External"/><Relationship Id="rId52" Type="http://schemas.openxmlformats.org/officeDocument/2006/relationships/hyperlink" Target="https://www.doka.org.tr/" TargetMode="External"/><Relationship Id="rId53" Type="http://schemas.openxmlformats.org/officeDocument/2006/relationships/hyperlink" Target="https://www.doka.org.tr/" TargetMode="External"/><Relationship Id="rId54" Type="http://schemas.openxmlformats.org/officeDocument/2006/relationships/hyperlink" Target="http://www.marka.org.tr/" TargetMode="External"/><Relationship Id="rId55" Type="http://schemas.openxmlformats.org/officeDocument/2006/relationships/hyperlink" Target="https://www.oka.gov.tr/" TargetMode="External"/><Relationship Id="rId56" Type="http://schemas.openxmlformats.org/officeDocument/2006/relationships/hyperlink" Target="https://www.dika.gov.tr/" TargetMode="External"/><Relationship Id="rId57" Type="http://schemas.openxmlformats.org/officeDocument/2006/relationships/hyperlink" Target="https://www.kuzka.gov.tr/" TargetMode="External"/><Relationship Id="rId58" Type="http://schemas.openxmlformats.org/officeDocument/2006/relationships/hyperlink" Target="https://www.oran.gov.tr/" TargetMode="External"/><Relationship Id="rId59" Type="http://schemas.openxmlformats.org/officeDocument/2006/relationships/hyperlink" Target="https://www.trakyaka.org.tr/" TargetMode="External"/><Relationship Id="rId60" Type="http://schemas.openxmlformats.org/officeDocument/2006/relationships/hyperlink" Target="https://www.oka.gov.tr/" TargetMode="External"/><Relationship Id="rId61" Type="http://schemas.openxmlformats.org/officeDocument/2006/relationships/hyperlink" Target="https://www.doka.org.tr/" TargetMode="External"/><Relationship Id="rId62" Type="http://schemas.openxmlformats.org/officeDocument/2006/relationships/hyperlink" Target="https://fka.gov.tr//" TargetMode="External"/><Relationship Id="rId63" Type="http://schemas.openxmlformats.org/officeDocument/2006/relationships/hyperlink" Target="https://www.karacadag.gov.tr/" TargetMode="External"/><Relationship Id="rId64" Type="http://schemas.openxmlformats.org/officeDocument/2006/relationships/hyperlink" Target="https://zafer.gov.tr/" TargetMode="External"/><Relationship Id="rId65" Type="http://schemas.openxmlformats.org/officeDocument/2006/relationships/hyperlink" Target="https://daka.gov.tr//" TargetMode="External"/><Relationship Id="rId66" Type="http://schemas.openxmlformats.org/officeDocument/2006/relationships/hyperlink" Target="https://www.oran.gov.tr/" TargetMode="External"/><Relationship Id="rId67" Type="http://schemas.openxmlformats.org/officeDocument/2006/relationships/hyperlink" Target="https://www.bakka.gov.tr/" TargetMode="External"/><Relationship Id="rId68" Type="http://schemas.openxmlformats.org/officeDocument/2006/relationships/hyperlink" Target="https://www.ahika.gov.tr/" TargetMode="External"/><Relationship Id="rId69" Type="http://schemas.openxmlformats.org/officeDocument/2006/relationships/hyperlink" Target="https://www.kudaka.org.tr/" TargetMode="External"/><Relationship Id="rId70" Type="http://schemas.openxmlformats.org/officeDocument/2006/relationships/hyperlink" Target="https://www.mevka.org.tr/" TargetMode="External"/><Relationship Id="rId71" Type="http://schemas.openxmlformats.org/officeDocument/2006/relationships/hyperlink" Target="https://www.ahika.gov.tr/" TargetMode="External"/><Relationship Id="rId72" Type="http://schemas.openxmlformats.org/officeDocument/2006/relationships/hyperlink" Target="https://www.dika.gov.tr/" TargetMode="External"/><Relationship Id="rId73" Type="http://schemas.openxmlformats.org/officeDocument/2006/relationships/hyperlink" Target="https://www.dika.gov.tr/" TargetMode="External"/><Relationship Id="rId74" Type="http://schemas.openxmlformats.org/officeDocument/2006/relationships/hyperlink" Target="https://www.bakka.gov.tr/" TargetMode="External"/><Relationship Id="rId75" Type="http://schemas.openxmlformats.org/officeDocument/2006/relationships/hyperlink" Target="https://www.serka.gov.tr/" TargetMode="External"/><Relationship Id="rId76" Type="http://schemas.openxmlformats.org/officeDocument/2006/relationships/hyperlink" Target="https://www.serka.gov.tr/" TargetMode="External"/><Relationship Id="rId77" Type="http://schemas.openxmlformats.org/officeDocument/2006/relationships/hyperlink" Target="http://www.marka.org.tr/" TargetMode="External"/><Relationship Id="rId78" Type="http://schemas.openxmlformats.org/officeDocument/2006/relationships/hyperlink" Target="https://www.bakka.gov.tr/" TargetMode="External"/><Relationship Id="rId79" Type="http://schemas.openxmlformats.org/officeDocument/2006/relationships/hyperlink" Target="https://www.ika.org.tr/" TargetMode="External"/><Relationship Id="rId80" Type="http://schemas.openxmlformats.org/officeDocument/2006/relationships/hyperlink" Target="https://www.dogaka.gov.tr/" TargetMode="External"/><Relationship Id="rId81" Type="http://schemas.openxmlformats.org/officeDocument/2006/relationships/hyperlink" Target="http://www.marka.org.tr/" TargetMode="External"/><Relationship Id="rId82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https://www.resmigazete.gov.tr/eskiler/2025/05/20250530-2.pdf" TargetMode="External"/><Relationship Id="rId2" Type="http://schemas.openxmlformats.org/officeDocument/2006/relationships/hyperlink" Target="https://www.lexpera.com.tr/mevzuat/cumhurbaskani-kararlari/yatirimlarda-devlet-yardimlari-hakkinda-karar-9903" TargetMode="External"/><Relationship Id="rId3" Type="http://schemas.openxmlformats.org/officeDocument/2006/relationships/hyperlink" Target="https://www.resmigazete.gov.tr/eskiler/2025/06/20250621-14.htm" TargetMode="External"/><Relationship Id="rId4" Type="http://schemas.openxmlformats.org/officeDocument/2006/relationships/hyperlink" Target="https://tesvikakademi.com/haber/2026-yili-yatirim-tesvik-tutarlari-aciklandi/" TargetMode="External"/><Relationship Id="rId5" Type="http://schemas.openxmlformats.org/officeDocument/2006/relationships/hyperlink" Target="https://www.resmigazete.gov.tr/eskiler/2026/01/20260131-13-1.pdf" TargetMode="External"/><Relationship Id="rId6" Type="http://schemas.openxmlformats.org/officeDocument/2006/relationships/hyperlink" Target="https://www.resmigazete.gov.tr/eskiler/2024/07/20240726-19.htm" TargetMode="External"/><Relationship Id="rId7" Type="http://schemas.openxmlformats.org/officeDocument/2006/relationships/hyperlink" Target="https://www.resmigazete.gov.tr/eskiler/2018/01/20180125-2.pdf" TargetMode="External"/><Relationship Id="rId8" Type="http://schemas.openxmlformats.org/officeDocument/2006/relationships/hyperlink" Target="https://www.resmigazete.gov.tr/eskiler/2023/04/20230405-9.pdf" TargetMode="External"/><Relationship Id="rId9" Type="http://schemas.openxmlformats.org/officeDocument/2006/relationships/hyperlink" Target="https://www.lexpera.com.tr/mevzuat/yonetmelikler/enerji-kaynaklarinin-ve-enerjinin-kullaniminda-verimliligin-artirilmasina-dair-yonetmelik-2011-28097-5" TargetMode="External"/><Relationship Id="rId10" Type="http://schemas.openxmlformats.org/officeDocument/2006/relationships/hyperlink" Target="https://enerji.gov.tr/Media/Dizin/EVCED/tr/EnerjiVerimlili&#287;i/Destekler/dokumanlar/VAP_Destekleri/Verimlilik_Artirici_Proje_(VAP)_Destek_Programi_Hakkinda_Uygulama_Usul_Esaslari.pdf" TargetMode="External"/><Relationship Id="rId11" Type="http://schemas.openxmlformats.org/officeDocument/2006/relationships/hyperlink" Target="https://enerji.gov.tr/duyuru-detay?id=30609" TargetMode="External"/><Relationship Id="rId12" Type="http://schemas.openxmlformats.org/officeDocument/2006/relationships/hyperlink" Target="https://www.aa.com.tr/tr/ekonomi/enerji-verimliligi-ve-karbon-azaltimina-yeni-hibe-destegi-geliyor/3979586" TargetMode="External"/><Relationship Id="rId13" Type="http://schemas.openxmlformats.org/officeDocument/2006/relationships/hyperlink" Target="https://enerji.gov.tr/Media/Dizin/BHIM/tr/Duyurular//2026_Yili_VAP_Denetim_Bedelleri_202512311640.docx" TargetMode="External"/><Relationship Id="rId14" Type="http://schemas.openxmlformats.org/officeDocument/2006/relationships/hyperlink" Target="https://enerji.gov.tr/duyuru-detay?id=30623" TargetMode="External"/><Relationship Id="rId15" Type="http://schemas.openxmlformats.org/officeDocument/2006/relationships/hyperlink" Target="https://enerji.gov.tr/Media/Dizin/BHIM/tr/Duyurular//Enerji_ve_Karbon_Azaltim_(EKA)_Destek_Programi_hakkinda_Uygulama_Usul_ve_Esaslari_202606291644.pdf" TargetMode="External"/><Relationship Id="rId16" Type="http://schemas.openxmlformats.org/officeDocument/2006/relationships/hyperlink" Target="https://enerji.gov.tr/Media/Dizin/HIGM/tr/Mevzuat/Enerji_Verimliligi/ENERJI_PERFORMANS_SOZLESMELERI_ILE_UYGULANACAK_PROJELERIN_DESTEKLENMESINE_ILISKIN_USUL_VE_ESASLAR.pdf" TargetMode="External"/><Relationship Id="rId17" Type="http://schemas.openxmlformats.org/officeDocument/2006/relationships/hyperlink" Target="https://enerji.gov.tr/duyuru-detay?id=30601" TargetMode="External"/><Relationship Id="rId18" Type="http://schemas.openxmlformats.org/officeDocument/2006/relationships/hyperlink" Target="https://www.lexpera.com.tr/mevzuat/yonetmelikler/elektrik-piyasasinda-lisanssiz-elektrik-uretim-yonetmeligi" TargetMode="External"/><Relationship Id="rId19" Type="http://schemas.openxmlformats.org/officeDocument/2006/relationships/hyperlink" Target="https://www.resmigazete.gov.tr/eskiler/2023/05/20230501-7.pdf" TargetMode="External"/><Relationship Id="rId20" Type="http://schemas.openxmlformats.org/officeDocument/2006/relationships/hyperlink" Target="https://www.resmigazete.gov.tr/eskiler/2026/06/20260613-3.pdf" TargetMode="External"/><Relationship Id="rId21" Type="http://schemas.openxmlformats.org/officeDocument/2006/relationships/hyperlink" Target="https://enerji.gov.tr/duyuru-detay?id=30627" TargetMode="External"/><Relationship Id="rId22" Type="http://schemas.openxmlformats.org/officeDocument/2006/relationships/hyperlink" Target="https://enerji.gov.tr/duyuru-detay?id=30626" TargetMode="External"/><Relationship Id="rId23" Type="http://schemas.openxmlformats.org/officeDocument/2006/relationships/hyperlink" Target="https://www.aa.com.tr/tr/enerjiterminali/genel/bakan-bayraktar-2026-yeka-yarismalariyla-yenilenebilir-enerjide-yeni-bir-yatirim-donemine-kapi-araliyoruz/58274" TargetMode="External"/><Relationship Id="rId24" Type="http://schemas.openxmlformats.org/officeDocument/2006/relationships/hyperlink" Target="https://www.resmigazete.gov.tr/eskiler/2021/05/20210509-3.htm" TargetMode="External"/><Relationship Id="rId25" Type="http://schemas.openxmlformats.org/officeDocument/2006/relationships/hyperlink" Target="https://hit30.sanayi.gov.tr/cagrilar" TargetMode="External"/><Relationship Id="rId26" Type="http://schemas.openxmlformats.org/officeDocument/2006/relationships/hyperlink" Target="https://www.kosgeb.gov.tr/site/tr/genel/destekdetay/9022/yesil-sanayi-destek-programi" TargetMode="External"/><Relationship Id="rId27" Type="http://schemas.openxmlformats.org/officeDocument/2006/relationships/hyperlink" Target="https://www.kosgeb.gov.tr/site/tr/genel/destekdetay/8202/kobi-enerji-verimliligi-destek-programi" TargetMode="External"/><Relationship Id="rId28" Type="http://schemas.openxmlformats.org/officeDocument/2006/relationships/hyperlink" Target="https://www.kosgeb.gov.tr/site/tr/genel/destekler/3/destekler" TargetMode="External"/><Relationship Id="rId29" Type="http://schemas.openxmlformats.org/officeDocument/2006/relationships/hyperlink" Target="https://tubitak.gov.tr/tr/destekler/destek/sanayi/ulusal-destek-programlari/cagri-1832-sanayide-yesil-donusum-2026-2-cagrisi-basvuruya-acildi" TargetMode="External"/><Relationship Id="rId30" Type="http://schemas.openxmlformats.org/officeDocument/2006/relationships/hyperlink" Target="https://ka.gov.tr/" TargetMode="External"/><Relationship Id="rId31" Type="http://schemas.openxmlformats.org/officeDocument/2006/relationships/hyperlink" Target="https://www.aa.com.tr/tr/ekonomi/yerelde-kalkinma-destekleri-81-ilin-cevherlerini-ortaya-cikaracak/3910357" TargetMode="External"/><Relationship Id="rId32" Type="http://schemas.openxmlformats.org/officeDocument/2006/relationships/drawing" Target="../drawings/drawing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23.85" hidden="false" customHeight="false" outlineLevel="0" collapsed="false">
      <c r="A6" s="4" t="s">
        <v>6</v>
      </c>
      <c r="B6" s="5" t="s">
        <v>7</v>
      </c>
    </row>
    <row r="7" customFormat="false" ht="23.85" hidden="false" customHeight="false" outlineLevel="0" collapsed="false">
      <c r="A7" s="4" t="s">
        <v>8</v>
      </c>
      <c r="B7" s="5" t="s">
        <v>9</v>
      </c>
    </row>
    <row r="8" customFormat="false" ht="23.85" hidden="false" customHeight="false" outlineLevel="0" collapsed="false">
      <c r="A8" s="4" t="s">
        <v>10</v>
      </c>
      <c r="B8" s="5" t="s">
        <v>11</v>
      </c>
    </row>
    <row r="9" customFormat="false" ht="15" hidden="false" customHeight="false" outlineLevel="0" collapsed="false">
      <c r="A9" s="4" t="s">
        <v>12</v>
      </c>
      <c r="B9" s="5" t="s">
        <v>13</v>
      </c>
    </row>
    <row r="10" customFormat="false" ht="23.85" hidden="false" customHeight="false" outlineLevel="0" collapsed="false">
      <c r="A10" s="4" t="s">
        <v>14</v>
      </c>
      <c r="B10" s="5" t="s">
        <v>15</v>
      </c>
    </row>
    <row r="11" customFormat="false" ht="15" hidden="false" customHeight="false" outlineLevel="0" collapsed="false">
      <c r="A11" s="4" t="s">
        <v>16</v>
      </c>
      <c r="B11" s="5" t="s">
        <v>17</v>
      </c>
    </row>
    <row r="13" customFormat="false" ht="15" hidden="false" customHeight="false" outlineLevel="0" collapsed="false">
      <c r="A13" s="6" t="s">
        <v>18</v>
      </c>
      <c r="B13" s="6" t="s">
        <v>19</v>
      </c>
    </row>
    <row r="14" customFormat="false" ht="15" hidden="false" customHeight="false" outlineLevel="0" collapsed="false">
      <c r="A14" s="7" t="s">
        <v>20</v>
      </c>
      <c r="B14" s="5" t="s">
        <v>21</v>
      </c>
    </row>
    <row r="15" customFormat="false" ht="15" hidden="false" customHeight="false" outlineLevel="0" collapsed="false">
      <c r="A15" s="8" t="s">
        <v>22</v>
      </c>
      <c r="B15" s="5" t="s">
        <v>23</v>
      </c>
    </row>
    <row r="16" customFormat="false" ht="15" hidden="false" customHeight="false" outlineLevel="0" collapsed="false">
      <c r="A16" s="9" t="s">
        <v>24</v>
      </c>
      <c r="B16" s="5" t="s">
        <v>25</v>
      </c>
    </row>
    <row r="17" customFormat="false" ht="15" hidden="false" customHeight="false" outlineLevel="0" collapsed="false">
      <c r="A17" s="10" t="s">
        <v>26</v>
      </c>
      <c r="B17" s="5" t="s">
        <v>27</v>
      </c>
    </row>
    <row r="18" customFormat="false" ht="15" hidden="false" customHeight="false" outlineLevel="0" collapsed="false">
      <c r="A18" s="11" t="s">
        <v>28</v>
      </c>
      <c r="B18" s="5" t="s">
        <v>29</v>
      </c>
    </row>
    <row r="19" customFormat="false" ht="15" hidden="false" customHeight="false" outlineLevel="0" collapsed="false">
      <c r="A19" s="12" t="s">
        <v>30</v>
      </c>
      <c r="B19" s="5" t="s">
        <v>31</v>
      </c>
    </row>
    <row r="21" customFormat="false" ht="15" hidden="false" customHeight="false" outlineLevel="0" collapsed="false">
      <c r="A21" s="6" t="s">
        <v>32</v>
      </c>
      <c r="B21" s="6"/>
    </row>
    <row r="22" customFormat="false" ht="15" hidden="false" customHeight="false" outlineLevel="0" collapsed="false">
      <c r="A22" s="4" t="s">
        <v>33</v>
      </c>
      <c r="B22" s="5" t="s">
        <v>34</v>
      </c>
    </row>
    <row r="23" customFormat="false" ht="15" hidden="false" customHeight="false" outlineLevel="0" collapsed="false">
      <c r="A23" s="4" t="s">
        <v>35</v>
      </c>
      <c r="B23" s="5" t="s">
        <v>36</v>
      </c>
    </row>
    <row r="24" customFormat="false" ht="15" hidden="false" customHeight="false" outlineLevel="0" collapsed="false">
      <c r="A24" s="4" t="s">
        <v>37</v>
      </c>
      <c r="B24" s="5" t="s">
        <v>38</v>
      </c>
    </row>
    <row r="25" customFormat="false" ht="15" hidden="false" customHeight="false" outlineLevel="0" collapsed="false">
      <c r="A25" s="4" t="s">
        <v>39</v>
      </c>
      <c r="B25" s="5" t="s">
        <v>40</v>
      </c>
    </row>
    <row r="26" customFormat="false" ht="15" hidden="false" customHeight="false" outlineLevel="0" collapsed="false">
      <c r="A26" s="4" t="s">
        <v>41</v>
      </c>
      <c r="B26" s="5" t="s">
        <v>42</v>
      </c>
    </row>
    <row r="27" customFormat="false" ht="15" hidden="false" customHeight="false" outlineLevel="0" collapsed="false">
      <c r="A27" s="4" t="s">
        <v>43</v>
      </c>
      <c r="B27" s="5" t="s">
        <v>44</v>
      </c>
    </row>
    <row r="28" customFormat="false" ht="15" hidden="false" customHeight="false" outlineLevel="0" collapsed="false">
      <c r="A28" s="4" t="s">
        <v>45</v>
      </c>
      <c r="B28" s="5" t="s">
        <v>46</v>
      </c>
    </row>
    <row r="29" customFormat="false" ht="23.85" hidden="false" customHeight="false" outlineLevel="0" collapsed="false">
      <c r="A29" s="4" t="s">
        <v>47</v>
      </c>
      <c r="B29" s="5" t="s">
        <v>48</v>
      </c>
    </row>
    <row r="30" customFormat="false" ht="15" hidden="false" customHeight="false" outlineLevel="0" collapsed="false">
      <c r="A30" s="4" t="s">
        <v>49</v>
      </c>
      <c r="B30" s="5" t="s">
        <v>50</v>
      </c>
    </row>
    <row r="31" customFormat="false" ht="15" hidden="false" customHeight="false" outlineLevel="0" collapsed="false">
      <c r="A31" s="4" t="s">
        <v>51</v>
      </c>
      <c r="B31" s="5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32"/>
    <col collapsed="false" customWidth="true" hidden="false" outlineLevel="0" max="10" min="10" style="0" width="26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40"/>
    <col collapsed="false" customWidth="true" hidden="false" outlineLevel="0" max="14" min="14" style="0" width="12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30" hidden="false" customHeight="true" outlineLevel="0" collapsed="false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3" t="s">
        <v>62</v>
      </c>
      <c r="I4" s="3" t="s">
        <v>63</v>
      </c>
      <c r="J4" s="3" t="s">
        <v>64</v>
      </c>
      <c r="K4" s="3" t="s">
        <v>18</v>
      </c>
      <c r="L4" s="3" t="s">
        <v>65</v>
      </c>
      <c r="M4" s="3" t="s">
        <v>66</v>
      </c>
      <c r="N4" s="3" t="s">
        <v>67</v>
      </c>
    </row>
    <row r="5" customFormat="false" ht="23.85" hidden="false" customHeight="false" outlineLevel="0" collapsed="false">
      <c r="A5" s="4" t="s">
        <v>68</v>
      </c>
      <c r="B5" s="4" t="s">
        <v>69</v>
      </c>
      <c r="C5" s="5" t="s">
        <v>70</v>
      </c>
      <c r="D5" s="5" t="s">
        <v>71</v>
      </c>
      <c r="E5" s="5" t="s">
        <v>71</v>
      </c>
      <c r="F5" s="5" t="s">
        <v>72</v>
      </c>
      <c r="G5" s="5" t="s">
        <v>73</v>
      </c>
      <c r="H5" s="5" t="s">
        <v>74</v>
      </c>
      <c r="I5" s="5" t="s">
        <v>75</v>
      </c>
      <c r="J5" s="5" t="s">
        <v>76</v>
      </c>
      <c r="K5" s="7" t="s">
        <v>20</v>
      </c>
      <c r="L5" s="5" t="s">
        <v>77</v>
      </c>
      <c r="M5" s="5" t="s">
        <v>78</v>
      </c>
      <c r="N5" s="5" t="s">
        <v>79</v>
      </c>
    </row>
    <row r="6" customFormat="false" ht="23.85" hidden="false" customHeight="false" outlineLevel="0" collapsed="false">
      <c r="A6" s="4" t="s">
        <v>80</v>
      </c>
      <c r="B6" s="4" t="s">
        <v>81</v>
      </c>
      <c r="C6" s="5" t="s">
        <v>82</v>
      </c>
      <c r="D6" s="5" t="s">
        <v>71</v>
      </c>
      <c r="E6" s="5" t="s">
        <v>71</v>
      </c>
      <c r="F6" s="5" t="s">
        <v>83</v>
      </c>
      <c r="G6" s="5" t="s">
        <v>84</v>
      </c>
      <c r="H6" s="5" t="s">
        <v>85</v>
      </c>
      <c r="I6" s="5" t="s">
        <v>86</v>
      </c>
      <c r="J6" s="5" t="s">
        <v>87</v>
      </c>
      <c r="K6" s="7" t="s">
        <v>20</v>
      </c>
      <c r="L6" s="5" t="s">
        <v>88</v>
      </c>
      <c r="M6" s="5" t="s">
        <v>89</v>
      </c>
      <c r="N6" s="5" t="s">
        <v>79</v>
      </c>
    </row>
    <row r="7" customFormat="false" ht="23.85" hidden="false" customHeight="false" outlineLevel="0" collapsed="false">
      <c r="A7" s="4" t="s">
        <v>90</v>
      </c>
      <c r="B7" s="4" t="s">
        <v>91</v>
      </c>
      <c r="C7" s="5" t="s">
        <v>92</v>
      </c>
      <c r="D7" s="5" t="s">
        <v>71</v>
      </c>
      <c r="E7" s="5" t="s">
        <v>71</v>
      </c>
      <c r="F7" s="5" t="s">
        <v>72</v>
      </c>
      <c r="G7" s="5" t="s">
        <v>93</v>
      </c>
      <c r="H7" s="5" t="s">
        <v>74</v>
      </c>
      <c r="I7" s="5" t="s">
        <v>94</v>
      </c>
      <c r="J7" s="5" t="s">
        <v>95</v>
      </c>
      <c r="K7" s="7" t="s">
        <v>20</v>
      </c>
      <c r="L7" s="5" t="s">
        <v>77</v>
      </c>
      <c r="M7" s="5"/>
      <c r="N7" s="5" t="s">
        <v>79</v>
      </c>
    </row>
    <row r="8" customFormat="false" ht="23.85" hidden="false" customHeight="false" outlineLevel="0" collapsed="false">
      <c r="A8" s="4" t="s">
        <v>96</v>
      </c>
      <c r="B8" s="4" t="s">
        <v>97</v>
      </c>
      <c r="C8" s="5" t="s">
        <v>92</v>
      </c>
      <c r="D8" s="5" t="s">
        <v>71</v>
      </c>
      <c r="E8" s="5" t="s">
        <v>71</v>
      </c>
      <c r="F8" s="5" t="s">
        <v>72</v>
      </c>
      <c r="G8" s="5" t="s">
        <v>98</v>
      </c>
      <c r="H8" s="5" t="s">
        <v>74</v>
      </c>
      <c r="I8" s="5" t="s">
        <v>99</v>
      </c>
      <c r="J8" s="5" t="s">
        <v>100</v>
      </c>
      <c r="K8" s="7" t="s">
        <v>20</v>
      </c>
      <c r="L8" s="5" t="s">
        <v>77</v>
      </c>
      <c r="M8" s="5"/>
      <c r="N8" s="5" t="s">
        <v>79</v>
      </c>
    </row>
    <row r="9" customFormat="false" ht="23.85" hidden="false" customHeight="false" outlineLevel="0" collapsed="false">
      <c r="A9" s="4" t="s">
        <v>101</v>
      </c>
      <c r="B9" s="4" t="s">
        <v>102</v>
      </c>
      <c r="C9" s="5" t="s">
        <v>92</v>
      </c>
      <c r="D9" s="5" t="s">
        <v>71</v>
      </c>
      <c r="E9" s="5" t="s">
        <v>71</v>
      </c>
      <c r="F9" s="5" t="s">
        <v>72</v>
      </c>
      <c r="G9" s="5" t="s">
        <v>98</v>
      </c>
      <c r="H9" s="5" t="s">
        <v>74</v>
      </c>
      <c r="I9" s="5" t="s">
        <v>103</v>
      </c>
      <c r="J9" s="5" t="s">
        <v>104</v>
      </c>
      <c r="K9" s="7" t="s">
        <v>20</v>
      </c>
      <c r="L9" s="5" t="s">
        <v>105</v>
      </c>
      <c r="M9" s="5" t="s">
        <v>106</v>
      </c>
      <c r="N9" s="5" t="s">
        <v>79</v>
      </c>
    </row>
    <row r="10" customFormat="false" ht="23.85" hidden="false" customHeight="false" outlineLevel="0" collapsed="false">
      <c r="A10" s="4" t="s">
        <v>107</v>
      </c>
      <c r="B10" s="4" t="s">
        <v>108</v>
      </c>
      <c r="C10" s="5" t="s">
        <v>109</v>
      </c>
      <c r="D10" s="5" t="s">
        <v>71</v>
      </c>
      <c r="E10" s="5" t="s">
        <v>110</v>
      </c>
      <c r="F10" s="5" t="s">
        <v>72</v>
      </c>
      <c r="G10" s="5" t="s">
        <v>111</v>
      </c>
      <c r="H10" s="5" t="s">
        <v>74</v>
      </c>
      <c r="I10" s="5" t="s">
        <v>112</v>
      </c>
      <c r="J10" s="5" t="s">
        <v>113</v>
      </c>
      <c r="K10" s="7" t="s">
        <v>20</v>
      </c>
      <c r="L10" s="5" t="s">
        <v>77</v>
      </c>
      <c r="M10" s="5"/>
      <c r="N10" s="5" t="s">
        <v>79</v>
      </c>
    </row>
    <row r="11" customFormat="false" ht="23.85" hidden="false" customHeight="false" outlineLevel="0" collapsed="false">
      <c r="A11" s="4" t="s">
        <v>114</v>
      </c>
      <c r="B11" s="4" t="s">
        <v>115</v>
      </c>
      <c r="C11" s="5" t="s">
        <v>70</v>
      </c>
      <c r="D11" s="5" t="s">
        <v>71</v>
      </c>
      <c r="E11" s="5" t="s">
        <v>71</v>
      </c>
      <c r="F11" s="5" t="s">
        <v>116</v>
      </c>
      <c r="G11" s="5" t="s">
        <v>117</v>
      </c>
      <c r="H11" s="5" t="s">
        <v>118</v>
      </c>
      <c r="I11" s="5" t="s">
        <v>119</v>
      </c>
      <c r="J11" s="5" t="s">
        <v>120</v>
      </c>
      <c r="K11" s="7" t="s">
        <v>20</v>
      </c>
      <c r="L11" s="5" t="s">
        <v>121</v>
      </c>
      <c r="M11" s="5" t="s">
        <v>122</v>
      </c>
      <c r="N11" s="5" t="s">
        <v>79</v>
      </c>
    </row>
    <row r="12" customFormat="false" ht="15" hidden="false" customHeight="false" outlineLevel="0" collapsed="false">
      <c r="A12" s="4" t="s">
        <v>123</v>
      </c>
      <c r="B12" s="4" t="s">
        <v>124</v>
      </c>
      <c r="C12" s="5" t="s">
        <v>125</v>
      </c>
      <c r="D12" s="5" t="s">
        <v>71</v>
      </c>
      <c r="E12" s="5" t="s">
        <v>126</v>
      </c>
      <c r="F12" s="5" t="s">
        <v>72</v>
      </c>
      <c r="G12" s="5" t="s">
        <v>127</v>
      </c>
      <c r="H12" s="5" t="s">
        <v>128</v>
      </c>
      <c r="I12" s="5" t="s">
        <v>129</v>
      </c>
      <c r="J12" s="5" t="s">
        <v>130</v>
      </c>
      <c r="K12" s="7" t="s">
        <v>20</v>
      </c>
      <c r="L12" s="5" t="s">
        <v>131</v>
      </c>
      <c r="M12" s="5" t="s">
        <v>132</v>
      </c>
      <c r="N12" s="5" t="s">
        <v>79</v>
      </c>
    </row>
    <row r="13" customFormat="false" ht="23.85" hidden="false" customHeight="false" outlineLevel="0" collapsed="false">
      <c r="A13" s="4" t="s">
        <v>133</v>
      </c>
      <c r="B13" s="4" t="s">
        <v>134</v>
      </c>
      <c r="C13" s="5" t="s">
        <v>125</v>
      </c>
      <c r="D13" s="5" t="s">
        <v>71</v>
      </c>
      <c r="E13" s="5" t="s">
        <v>135</v>
      </c>
      <c r="F13" s="5" t="s">
        <v>72</v>
      </c>
      <c r="G13" s="5" t="s">
        <v>136</v>
      </c>
      <c r="H13" s="5" t="s">
        <v>128</v>
      </c>
      <c r="I13" s="5" t="s">
        <v>137</v>
      </c>
      <c r="J13" s="5" t="s">
        <v>138</v>
      </c>
      <c r="K13" s="7" t="s">
        <v>20</v>
      </c>
      <c r="L13" s="5" t="s">
        <v>139</v>
      </c>
      <c r="M13" s="5"/>
      <c r="N13" s="5" t="s">
        <v>79</v>
      </c>
    </row>
    <row r="14" customFormat="false" ht="15" hidden="false" customHeight="false" outlineLevel="0" collapsed="false">
      <c r="A14" s="4" t="s">
        <v>140</v>
      </c>
      <c r="B14" s="4" t="s">
        <v>141</v>
      </c>
      <c r="C14" s="5" t="s">
        <v>125</v>
      </c>
      <c r="D14" s="5" t="s">
        <v>142</v>
      </c>
      <c r="E14" s="5" t="s">
        <v>143</v>
      </c>
      <c r="F14" s="5" t="s">
        <v>144</v>
      </c>
      <c r="G14" s="5" t="s">
        <v>127</v>
      </c>
      <c r="H14" s="5" t="s">
        <v>145</v>
      </c>
      <c r="I14" s="5" t="s">
        <v>146</v>
      </c>
      <c r="J14" s="5" t="s">
        <v>147</v>
      </c>
      <c r="K14" s="7" t="s">
        <v>20</v>
      </c>
      <c r="L14" s="5" t="s">
        <v>148</v>
      </c>
      <c r="M14" s="5" t="s">
        <v>149</v>
      </c>
      <c r="N14" s="5" t="s">
        <v>79</v>
      </c>
    </row>
    <row r="15" customFormat="false" ht="23.85" hidden="false" customHeight="false" outlineLevel="0" collapsed="false">
      <c r="A15" s="4" t="s">
        <v>150</v>
      </c>
      <c r="B15" s="4" t="s">
        <v>151</v>
      </c>
      <c r="C15" s="5" t="s">
        <v>152</v>
      </c>
      <c r="D15" s="5" t="s">
        <v>71</v>
      </c>
      <c r="E15" s="5" t="s">
        <v>153</v>
      </c>
      <c r="F15" s="5" t="s">
        <v>154</v>
      </c>
      <c r="G15" s="5" t="s">
        <v>155</v>
      </c>
      <c r="H15" s="5" t="s">
        <v>156</v>
      </c>
      <c r="I15" s="5" t="s">
        <v>157</v>
      </c>
      <c r="J15" s="5" t="s">
        <v>158</v>
      </c>
      <c r="K15" s="8" t="s">
        <v>22</v>
      </c>
      <c r="L15" s="5" t="s">
        <v>159</v>
      </c>
      <c r="M15" s="5"/>
      <c r="N15" s="5" t="s">
        <v>79</v>
      </c>
    </row>
    <row r="16" customFormat="false" ht="23.85" hidden="false" customHeight="false" outlineLevel="0" collapsed="false">
      <c r="A16" s="4" t="s">
        <v>160</v>
      </c>
      <c r="B16" s="4" t="s">
        <v>161</v>
      </c>
      <c r="C16" s="5" t="s">
        <v>162</v>
      </c>
      <c r="D16" s="5" t="s">
        <v>71</v>
      </c>
      <c r="E16" s="5" t="s">
        <v>71</v>
      </c>
      <c r="F16" s="5" t="s">
        <v>163</v>
      </c>
      <c r="G16" s="5" t="s">
        <v>164</v>
      </c>
      <c r="H16" s="5" t="s">
        <v>164</v>
      </c>
      <c r="I16" s="5" t="s">
        <v>164</v>
      </c>
      <c r="J16" s="5" t="s">
        <v>164</v>
      </c>
      <c r="K16" s="8" t="s">
        <v>22</v>
      </c>
      <c r="L16" s="5" t="s">
        <v>165</v>
      </c>
      <c r="M16" s="5" t="s">
        <v>166</v>
      </c>
      <c r="N16" s="5" t="s">
        <v>79</v>
      </c>
    </row>
    <row r="17" customFormat="false" ht="23.85" hidden="false" customHeight="false" outlineLevel="0" collapsed="false">
      <c r="A17" s="4" t="s">
        <v>167</v>
      </c>
      <c r="B17" s="4" t="s">
        <v>168</v>
      </c>
      <c r="C17" s="5" t="s">
        <v>169</v>
      </c>
      <c r="D17" s="5" t="s">
        <v>170</v>
      </c>
      <c r="E17" s="5" t="s">
        <v>171</v>
      </c>
      <c r="F17" s="5" t="s">
        <v>172</v>
      </c>
      <c r="G17" s="5" t="s">
        <v>173</v>
      </c>
      <c r="H17" s="5" t="s">
        <v>174</v>
      </c>
      <c r="I17" s="5" t="s">
        <v>175</v>
      </c>
      <c r="J17" s="5" t="s">
        <v>176</v>
      </c>
      <c r="K17" s="8" t="s">
        <v>22</v>
      </c>
      <c r="L17" s="5" t="s">
        <v>177</v>
      </c>
      <c r="M17" s="5" t="s">
        <v>178</v>
      </c>
      <c r="N17" s="5" t="s">
        <v>79</v>
      </c>
    </row>
    <row r="18" customFormat="false" ht="35.05" hidden="false" customHeight="false" outlineLevel="0" collapsed="false">
      <c r="A18" s="4" t="s">
        <v>179</v>
      </c>
      <c r="B18" s="4" t="s">
        <v>180</v>
      </c>
      <c r="C18" s="5" t="s">
        <v>92</v>
      </c>
      <c r="D18" s="5" t="s">
        <v>71</v>
      </c>
      <c r="E18" s="5" t="s">
        <v>181</v>
      </c>
      <c r="F18" s="5" t="s">
        <v>182</v>
      </c>
      <c r="G18" s="5" t="s">
        <v>183</v>
      </c>
      <c r="H18" s="5" t="s">
        <v>184</v>
      </c>
      <c r="I18" s="5" t="s">
        <v>185</v>
      </c>
      <c r="J18" s="5" t="s">
        <v>186</v>
      </c>
      <c r="K18" s="8" t="s">
        <v>22</v>
      </c>
      <c r="L18" s="5" t="s">
        <v>187</v>
      </c>
      <c r="M18" s="5" t="s">
        <v>188</v>
      </c>
      <c r="N18" s="5" t="s">
        <v>79</v>
      </c>
    </row>
    <row r="19" customFormat="false" ht="23.85" hidden="false" customHeight="false" outlineLevel="0" collapsed="false">
      <c r="A19" s="4" t="s">
        <v>189</v>
      </c>
      <c r="B19" s="4" t="s">
        <v>190</v>
      </c>
      <c r="C19" s="5" t="s">
        <v>191</v>
      </c>
      <c r="D19" s="5" t="s">
        <v>192</v>
      </c>
      <c r="E19" s="5" t="s">
        <v>192</v>
      </c>
      <c r="F19" s="5" t="s">
        <v>193</v>
      </c>
      <c r="G19" s="5" t="s">
        <v>194</v>
      </c>
      <c r="H19" s="5" t="s">
        <v>195</v>
      </c>
      <c r="I19" s="5" t="s">
        <v>196</v>
      </c>
      <c r="J19" s="5" t="s">
        <v>197</v>
      </c>
      <c r="K19" s="7" t="s">
        <v>20</v>
      </c>
      <c r="L19" s="5" t="s">
        <v>198</v>
      </c>
      <c r="M19" s="5" t="s">
        <v>199</v>
      </c>
      <c r="N19" s="5" t="s">
        <v>79</v>
      </c>
    </row>
    <row r="20" customFormat="false" ht="23.85" hidden="false" customHeight="false" outlineLevel="0" collapsed="false">
      <c r="A20" s="4" t="s">
        <v>200</v>
      </c>
      <c r="B20" s="4" t="s">
        <v>201</v>
      </c>
      <c r="C20" s="5" t="s">
        <v>202</v>
      </c>
      <c r="D20" s="5" t="s">
        <v>203</v>
      </c>
      <c r="E20" s="5" t="s">
        <v>203</v>
      </c>
      <c r="F20" s="5" t="s">
        <v>72</v>
      </c>
      <c r="G20" s="5" t="s">
        <v>204</v>
      </c>
      <c r="H20" s="5" t="s">
        <v>205</v>
      </c>
      <c r="I20" s="5" t="s">
        <v>206</v>
      </c>
      <c r="J20" s="5" t="s">
        <v>207</v>
      </c>
      <c r="K20" s="7" t="s">
        <v>20</v>
      </c>
      <c r="L20" s="5" t="s">
        <v>208</v>
      </c>
      <c r="M20" s="5"/>
      <c r="N20" s="5" t="s">
        <v>79</v>
      </c>
    </row>
    <row r="21" customFormat="false" ht="23.85" hidden="false" customHeight="false" outlineLevel="0" collapsed="false">
      <c r="A21" s="4" t="s">
        <v>209</v>
      </c>
      <c r="B21" s="4" t="s">
        <v>210</v>
      </c>
      <c r="C21" s="5" t="s">
        <v>125</v>
      </c>
      <c r="D21" s="5" t="s">
        <v>211</v>
      </c>
      <c r="E21" s="5" t="s">
        <v>212</v>
      </c>
      <c r="F21" s="5" t="s">
        <v>213</v>
      </c>
      <c r="G21" s="5" t="s">
        <v>214</v>
      </c>
      <c r="H21" s="5" t="s">
        <v>215</v>
      </c>
      <c r="I21" s="5" t="s">
        <v>216</v>
      </c>
      <c r="J21" s="5" t="s">
        <v>217</v>
      </c>
      <c r="K21" s="7" t="s">
        <v>20</v>
      </c>
      <c r="L21" s="5" t="s">
        <v>218</v>
      </c>
      <c r="M21" s="5" t="s">
        <v>219</v>
      </c>
      <c r="N21" s="5" t="s">
        <v>79</v>
      </c>
    </row>
    <row r="22" customFormat="false" ht="23.85" hidden="false" customHeight="false" outlineLevel="0" collapsed="false">
      <c r="A22" s="4" t="s">
        <v>220</v>
      </c>
      <c r="B22" s="4" t="s">
        <v>221</v>
      </c>
      <c r="C22" s="5" t="s">
        <v>222</v>
      </c>
      <c r="D22" s="5" t="s">
        <v>71</v>
      </c>
      <c r="E22" s="5" t="s">
        <v>223</v>
      </c>
      <c r="F22" s="5" t="s">
        <v>224</v>
      </c>
      <c r="G22" s="5" t="s">
        <v>225</v>
      </c>
      <c r="H22" s="5" t="s">
        <v>224</v>
      </c>
      <c r="I22" s="5" t="s">
        <v>226</v>
      </c>
      <c r="J22" s="5" t="s">
        <v>227</v>
      </c>
      <c r="K22" s="12" t="s">
        <v>30</v>
      </c>
      <c r="L22" s="5" t="s">
        <v>228</v>
      </c>
      <c r="M22" s="5" t="s">
        <v>229</v>
      </c>
      <c r="N22" s="5" t="s">
        <v>79</v>
      </c>
    </row>
  </sheetData>
  <autoFilter ref="A4:N22"/>
  <conditionalFormatting sqref="F5:F22">
    <cfRule type="expression" priority="2" aboveAverage="0" equalAverage="0" bottom="0" percent="0" rank="0" text="" dxfId="14">
      <formula>ISNUMBER(SEARCH("kaldırıldı",F5))</formula>
    </cfRule>
    <cfRule type="expression" priority="3" aboveAverage="0" equalAverage="0" bottom="0" percent="0" rank="0" text="" dxfId="15">
      <formula>ISNUMBER(SEARCH("kapanıyor",F5))</formula>
    </cfRule>
    <cfRule type="expression" priority="4" aboveAverage="0" equalAverage="0" bottom="0" percent="0" rank="0" text="" dxfId="16">
      <formula>ISNUMBER(SEARCH("teyit",F5))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7" min="6" style="0" width="22"/>
    <col collapsed="false" customWidth="true" hidden="false" outlineLevel="0" max="8" min="8" style="0" width="26"/>
    <col collapsed="false" customWidth="true" hidden="false" outlineLevel="0" max="9" min="9" style="0" width="18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2" t="s">
        <v>231</v>
      </c>
    </row>
    <row r="4" customFormat="false" ht="30" hidden="false" customHeight="true" outlineLevel="0" collapsed="false">
      <c r="A4" s="3" t="s">
        <v>232</v>
      </c>
      <c r="B4" s="3" t="s">
        <v>56</v>
      </c>
      <c r="C4" s="3" t="s">
        <v>233</v>
      </c>
      <c r="D4" s="3" t="s">
        <v>234</v>
      </c>
      <c r="E4" s="3" t="s">
        <v>235</v>
      </c>
      <c r="F4" s="3" t="s">
        <v>236</v>
      </c>
      <c r="G4" s="3" t="s">
        <v>237</v>
      </c>
      <c r="H4" s="3" t="s">
        <v>64</v>
      </c>
      <c r="I4" s="3" t="s">
        <v>18</v>
      </c>
      <c r="J4" s="3" t="s">
        <v>65</v>
      </c>
    </row>
    <row r="5" customFormat="false" ht="15" hidden="false" customHeight="false" outlineLevel="0" collapsed="false">
      <c r="A5" s="4" t="s">
        <v>68</v>
      </c>
      <c r="B5" s="5" t="str">
        <f aca="false">IFERROR(INDEX(Programlar!$B$5:$B$22,MATCH(A5,Programlar!$A$5:$A$22,0)),"")</f>
        <v>9903 · Teknoloji Hamlesi Programı (THP)</v>
      </c>
      <c r="C5" s="5" t="s">
        <v>238</v>
      </c>
      <c r="D5" s="5" t="s">
        <v>239</v>
      </c>
      <c r="E5" s="5" t="s">
        <v>164</v>
      </c>
      <c r="F5" s="5" t="s">
        <v>240</v>
      </c>
      <c r="G5" s="5" t="s">
        <v>164</v>
      </c>
      <c r="H5" s="5" t="s">
        <v>241</v>
      </c>
      <c r="I5" s="7" t="s">
        <v>20</v>
      </c>
      <c r="J5" s="5" t="s">
        <v>77</v>
      </c>
    </row>
    <row r="6" customFormat="false" ht="15" hidden="false" customHeight="false" outlineLevel="0" collapsed="false">
      <c r="A6" s="4" t="s">
        <v>68</v>
      </c>
      <c r="B6" s="5" t="str">
        <f aca="false">IFERROR(INDEX(Programlar!$B$5:$B$22,MATCH(A6,Programlar!$A$5:$A$22,0)),"")</f>
        <v>9903 · Teknoloji Hamlesi Programı (THP)</v>
      </c>
      <c r="C6" s="5" t="s">
        <v>242</v>
      </c>
      <c r="D6" s="5" t="s">
        <v>243</v>
      </c>
      <c r="E6" s="5" t="s">
        <v>164</v>
      </c>
      <c r="F6" s="5" t="s">
        <v>240</v>
      </c>
      <c r="G6" s="5" t="s">
        <v>164</v>
      </c>
      <c r="H6" s="5" t="s">
        <v>244</v>
      </c>
      <c r="I6" s="7" t="s">
        <v>20</v>
      </c>
      <c r="J6" s="5" t="s">
        <v>77</v>
      </c>
    </row>
    <row r="7" customFormat="false" ht="15" hidden="false" customHeight="false" outlineLevel="0" collapsed="false">
      <c r="A7" s="4" t="s">
        <v>68</v>
      </c>
      <c r="B7" s="5" t="str">
        <f aca="false">IFERROR(INDEX(Programlar!$B$5:$B$22,MATCH(A7,Programlar!$A$5:$A$22,0)),"")</f>
        <v>9903 · Teknoloji Hamlesi Programı (THP)</v>
      </c>
      <c r="C7" s="5" t="s">
        <v>245</v>
      </c>
      <c r="D7" s="5" t="s">
        <v>246</v>
      </c>
      <c r="E7" s="5" t="s">
        <v>247</v>
      </c>
      <c r="F7" s="5" t="s">
        <v>248</v>
      </c>
      <c r="G7" s="5" t="s">
        <v>249</v>
      </c>
      <c r="H7" s="5" t="s">
        <v>250</v>
      </c>
      <c r="I7" s="7" t="s">
        <v>20</v>
      </c>
      <c r="J7" s="5" t="s">
        <v>77</v>
      </c>
    </row>
    <row r="8" customFormat="false" ht="15" hidden="false" customHeight="false" outlineLevel="0" collapsed="false">
      <c r="A8" s="4" t="s">
        <v>68</v>
      </c>
      <c r="B8" s="5" t="str">
        <f aca="false">IFERROR(INDEX(Programlar!$B$5:$B$22,MATCH(A8,Programlar!$A$5:$A$22,0)),"")</f>
        <v>9903 · Teknoloji Hamlesi Programı (THP)</v>
      </c>
      <c r="C8" s="5" t="s">
        <v>251</v>
      </c>
      <c r="D8" s="5" t="s">
        <v>252</v>
      </c>
      <c r="E8" s="5" t="s">
        <v>253</v>
      </c>
      <c r="F8" s="5" t="s">
        <v>254</v>
      </c>
      <c r="G8" s="5" t="s">
        <v>255</v>
      </c>
      <c r="H8" s="5" t="s">
        <v>256</v>
      </c>
      <c r="I8" s="10" t="s">
        <v>257</v>
      </c>
      <c r="J8" s="5" t="s">
        <v>258</v>
      </c>
    </row>
    <row r="9" customFormat="false" ht="15" hidden="false" customHeight="false" outlineLevel="0" collapsed="false">
      <c r="A9" s="4" t="s">
        <v>68</v>
      </c>
      <c r="B9" s="5" t="str">
        <f aca="false">IFERROR(INDEX(Programlar!$B$5:$B$22,MATCH(A9,Programlar!$A$5:$A$22,0)),"")</f>
        <v>9903 · Teknoloji Hamlesi Programı (THP)</v>
      </c>
      <c r="C9" s="5" t="s">
        <v>259</v>
      </c>
      <c r="D9" s="5" t="s">
        <v>260</v>
      </c>
      <c r="E9" s="5" t="s">
        <v>261</v>
      </c>
      <c r="F9" s="5" t="s">
        <v>262</v>
      </c>
      <c r="G9" s="5" t="s">
        <v>263</v>
      </c>
      <c r="H9" s="5" t="s">
        <v>264</v>
      </c>
      <c r="I9" s="10" t="s">
        <v>257</v>
      </c>
      <c r="J9" s="5" t="s">
        <v>258</v>
      </c>
    </row>
    <row r="10" customFormat="false" ht="15" hidden="false" customHeight="false" outlineLevel="0" collapsed="false">
      <c r="A10" s="4" t="s">
        <v>68</v>
      </c>
      <c r="B10" s="5" t="str">
        <f aca="false">IFERROR(INDEX(Programlar!$B$5:$B$22,MATCH(A10,Programlar!$A$5:$A$22,0)),"")</f>
        <v>9903 · Teknoloji Hamlesi Programı (THP)</v>
      </c>
      <c r="C10" s="5" t="s">
        <v>265</v>
      </c>
      <c r="D10" s="5" t="s">
        <v>266</v>
      </c>
      <c r="E10" s="5" t="s">
        <v>164</v>
      </c>
      <c r="F10" s="5" t="s">
        <v>267</v>
      </c>
      <c r="G10" s="5" t="s">
        <v>164</v>
      </c>
      <c r="H10" s="5" t="s">
        <v>268</v>
      </c>
      <c r="I10" s="7" t="s">
        <v>20</v>
      </c>
      <c r="J10" s="5" t="s">
        <v>77</v>
      </c>
    </row>
    <row r="11" customFormat="false" ht="15" hidden="false" customHeight="false" outlineLevel="0" collapsed="false">
      <c r="A11" s="4" t="s">
        <v>68</v>
      </c>
      <c r="B11" s="5" t="str">
        <f aca="false">IFERROR(INDEX(Programlar!$B$5:$B$22,MATCH(A11,Programlar!$A$5:$A$22,0)),"")</f>
        <v>9903 · Teknoloji Hamlesi Programı (THP)</v>
      </c>
      <c r="C11" s="5" t="s">
        <v>269</v>
      </c>
      <c r="D11" s="5" t="s">
        <v>164</v>
      </c>
      <c r="E11" s="5" t="s">
        <v>164</v>
      </c>
      <c r="F11" s="5" t="s">
        <v>164</v>
      </c>
      <c r="G11" s="5" t="s">
        <v>164</v>
      </c>
      <c r="H11" s="5" t="s">
        <v>270</v>
      </c>
      <c r="I11" s="7" t="s">
        <v>20</v>
      </c>
      <c r="J11" s="5" t="s">
        <v>77</v>
      </c>
    </row>
    <row r="12" customFormat="false" ht="15" hidden="false" customHeight="false" outlineLevel="0" collapsed="false">
      <c r="A12" s="4" t="s">
        <v>80</v>
      </c>
      <c r="B12" s="5" t="str">
        <f aca="false">IFERROR(INDEX(Programlar!$B$5:$B$22,MATCH(A12,Programlar!$A$5:$A$22,0)),"")</f>
        <v>9903 · Yerel Kalkınma Hamlesi Programı (YKH)</v>
      </c>
      <c r="C12" s="5" t="s">
        <v>271</v>
      </c>
      <c r="D12" s="5" t="s">
        <v>272</v>
      </c>
      <c r="E12" s="5" t="s">
        <v>273</v>
      </c>
      <c r="F12" s="5" t="s">
        <v>254</v>
      </c>
      <c r="G12" s="5" t="s">
        <v>164</v>
      </c>
      <c r="H12" s="5" t="s">
        <v>274</v>
      </c>
      <c r="I12" s="10" t="s">
        <v>257</v>
      </c>
      <c r="J12" s="5" t="s">
        <v>258</v>
      </c>
    </row>
    <row r="13" customFormat="false" ht="15" hidden="false" customHeight="false" outlineLevel="0" collapsed="false">
      <c r="A13" s="4" t="s">
        <v>80</v>
      </c>
      <c r="B13" s="5" t="str">
        <f aca="false">IFERROR(INDEX(Programlar!$B$5:$B$22,MATCH(A13,Programlar!$A$5:$A$22,0)),"")</f>
        <v>9903 · Yerel Kalkınma Hamlesi Programı (YKH)</v>
      </c>
      <c r="C13" s="5" t="s">
        <v>275</v>
      </c>
      <c r="D13" s="5" t="s">
        <v>276</v>
      </c>
      <c r="E13" s="5" t="s">
        <v>164</v>
      </c>
      <c r="F13" s="5" t="s">
        <v>164</v>
      </c>
      <c r="G13" s="5" t="s">
        <v>164</v>
      </c>
      <c r="H13" s="5" t="s">
        <v>277</v>
      </c>
      <c r="I13" s="7" t="s">
        <v>20</v>
      </c>
      <c r="J13" s="5" t="s">
        <v>77</v>
      </c>
    </row>
    <row r="14" customFormat="false" ht="15" hidden="false" customHeight="false" outlineLevel="0" collapsed="false">
      <c r="A14" s="4" t="s">
        <v>90</v>
      </c>
      <c r="B14" s="5" t="str">
        <f aca="false">IFERROR(INDEX(Programlar!$B$5:$B$22,MATCH(A14,Programlar!$A$5:$A$22,0)),"")</f>
        <v>9903 · Stratejik Hamle Programı</v>
      </c>
      <c r="C14" s="5" t="s">
        <v>245</v>
      </c>
      <c r="D14" s="5" t="s">
        <v>278</v>
      </c>
      <c r="E14" s="5" t="s">
        <v>247</v>
      </c>
      <c r="F14" s="5" t="s">
        <v>164</v>
      </c>
      <c r="G14" s="5" t="s">
        <v>279</v>
      </c>
      <c r="H14" s="5" t="s">
        <v>280</v>
      </c>
      <c r="I14" s="7" t="s">
        <v>20</v>
      </c>
      <c r="J14" s="5" t="s">
        <v>77</v>
      </c>
    </row>
    <row r="15" customFormat="false" ht="15" hidden="false" customHeight="false" outlineLevel="0" collapsed="false">
      <c r="A15" s="4" t="s">
        <v>90</v>
      </c>
      <c r="B15" s="5" t="str">
        <f aca="false">IFERROR(INDEX(Programlar!$B$5:$B$22,MATCH(A15,Programlar!$A$5:$A$22,0)),"")</f>
        <v>9903 · Stratejik Hamle Programı</v>
      </c>
      <c r="C15" s="5" t="s">
        <v>251</v>
      </c>
      <c r="D15" s="5" t="s">
        <v>281</v>
      </c>
      <c r="E15" s="5" t="s">
        <v>282</v>
      </c>
      <c r="F15" s="5" t="s">
        <v>254</v>
      </c>
      <c r="G15" s="5" t="s">
        <v>164</v>
      </c>
      <c r="H15" s="5" t="s">
        <v>283</v>
      </c>
      <c r="I15" s="10" t="s">
        <v>257</v>
      </c>
      <c r="J15" s="5" t="s">
        <v>258</v>
      </c>
    </row>
    <row r="16" customFormat="false" ht="15" hidden="false" customHeight="false" outlineLevel="0" collapsed="false">
      <c r="A16" s="4" t="s">
        <v>90</v>
      </c>
      <c r="B16" s="5" t="str">
        <f aca="false">IFERROR(INDEX(Programlar!$B$5:$B$22,MATCH(A16,Programlar!$A$5:$A$22,0)),"")</f>
        <v>9903 · Stratejik Hamle Programı</v>
      </c>
      <c r="C16" s="5" t="s">
        <v>284</v>
      </c>
      <c r="D16" s="5" t="s">
        <v>285</v>
      </c>
      <c r="E16" s="5" t="s">
        <v>286</v>
      </c>
      <c r="F16" s="5" t="s">
        <v>164</v>
      </c>
      <c r="G16" s="5" t="s">
        <v>164</v>
      </c>
      <c r="H16" s="5" t="s">
        <v>287</v>
      </c>
      <c r="I16" s="9" t="s">
        <v>288</v>
      </c>
      <c r="J16" s="5" t="s">
        <v>77</v>
      </c>
    </row>
    <row r="17" customFormat="false" ht="15" hidden="false" customHeight="false" outlineLevel="0" collapsed="false">
      <c r="A17" s="4" t="s">
        <v>90</v>
      </c>
      <c r="B17" s="5" t="str">
        <f aca="false">IFERROR(INDEX(Programlar!$B$5:$B$22,MATCH(A17,Programlar!$A$5:$A$22,0)),"")</f>
        <v>9903 · Stratejik Hamle Programı</v>
      </c>
      <c r="C17" s="5" t="s">
        <v>265</v>
      </c>
      <c r="D17" s="5" t="s">
        <v>289</v>
      </c>
      <c r="E17" s="5" t="s">
        <v>164</v>
      </c>
      <c r="F17" s="5" t="s">
        <v>267</v>
      </c>
      <c r="G17" s="5" t="s">
        <v>164</v>
      </c>
      <c r="H17" s="5" t="s">
        <v>268</v>
      </c>
      <c r="I17" s="7" t="s">
        <v>20</v>
      </c>
      <c r="J17" s="5" t="s">
        <v>77</v>
      </c>
    </row>
    <row r="18" customFormat="false" ht="15" hidden="false" customHeight="false" outlineLevel="0" collapsed="false">
      <c r="A18" s="4" t="s">
        <v>96</v>
      </c>
      <c r="B18" s="5" t="str">
        <f aca="false">IFERROR(INDEX(Programlar!$B$5:$B$22,MATCH(A18,Programlar!$A$5:$A$22,0)),"")</f>
        <v>9903 · Öncelikli Yatırımlar Teşvik Sistemi</v>
      </c>
      <c r="C18" s="5" t="s">
        <v>290</v>
      </c>
      <c r="D18" s="5" t="s">
        <v>164</v>
      </c>
      <c r="E18" s="5" t="s">
        <v>164</v>
      </c>
      <c r="F18" s="5" t="s">
        <v>164</v>
      </c>
      <c r="G18" s="5" t="s">
        <v>164</v>
      </c>
      <c r="H18" s="5" t="s">
        <v>291</v>
      </c>
      <c r="I18" s="7" t="s">
        <v>20</v>
      </c>
      <c r="J18" s="5" t="s">
        <v>77</v>
      </c>
    </row>
    <row r="19" customFormat="false" ht="15" hidden="false" customHeight="false" outlineLevel="0" collapsed="false">
      <c r="A19" s="4" t="s">
        <v>96</v>
      </c>
      <c r="B19" s="5" t="str">
        <f aca="false">IFERROR(INDEX(Programlar!$B$5:$B$22,MATCH(A19,Programlar!$A$5:$A$22,0)),"")</f>
        <v>9903 · Öncelikli Yatırımlar Teşvik Sistemi</v>
      </c>
      <c r="C19" s="5" t="s">
        <v>245</v>
      </c>
      <c r="D19" s="5" t="s">
        <v>292</v>
      </c>
      <c r="E19" s="5" t="s">
        <v>247</v>
      </c>
      <c r="F19" s="5" t="s">
        <v>164</v>
      </c>
      <c r="G19" s="5" t="s">
        <v>293</v>
      </c>
      <c r="H19" s="5" t="s">
        <v>294</v>
      </c>
      <c r="I19" s="7" t="s">
        <v>20</v>
      </c>
      <c r="J19" s="5" t="s">
        <v>77</v>
      </c>
    </row>
    <row r="20" customFormat="false" ht="15" hidden="false" customHeight="false" outlineLevel="0" collapsed="false">
      <c r="A20" s="4" t="s">
        <v>96</v>
      </c>
      <c r="B20" s="5" t="str">
        <f aca="false">IFERROR(INDEX(Programlar!$B$5:$B$22,MATCH(A20,Programlar!$A$5:$A$22,0)),"")</f>
        <v>9903 · Öncelikli Yatırımlar Teşvik Sistemi</v>
      </c>
      <c r="C20" s="5" t="s">
        <v>251</v>
      </c>
      <c r="D20" s="5" t="s">
        <v>295</v>
      </c>
      <c r="E20" s="5" t="s">
        <v>296</v>
      </c>
      <c r="F20" s="5" t="s">
        <v>254</v>
      </c>
      <c r="G20" s="5" t="s">
        <v>164</v>
      </c>
      <c r="H20" s="5" t="s">
        <v>297</v>
      </c>
      <c r="I20" s="10" t="s">
        <v>257</v>
      </c>
      <c r="J20" s="5" t="s">
        <v>258</v>
      </c>
    </row>
    <row r="21" customFormat="false" ht="15" hidden="false" customHeight="false" outlineLevel="0" collapsed="false">
      <c r="A21" s="4" t="s">
        <v>96</v>
      </c>
      <c r="B21" s="5" t="str">
        <f aca="false">IFERROR(INDEX(Programlar!$B$5:$B$22,MATCH(A21,Programlar!$A$5:$A$22,0)),"")</f>
        <v>9903 · Öncelikli Yatırımlar Teşvik Sistemi</v>
      </c>
      <c r="C21" s="5" t="s">
        <v>298</v>
      </c>
      <c r="D21" s="5" t="s">
        <v>164</v>
      </c>
      <c r="E21" s="5" t="s">
        <v>164</v>
      </c>
      <c r="F21" s="5" t="s">
        <v>164</v>
      </c>
      <c r="G21" s="5" t="s">
        <v>164</v>
      </c>
      <c r="H21" s="5" t="s">
        <v>299</v>
      </c>
      <c r="I21" s="7" t="s">
        <v>20</v>
      </c>
      <c r="J21" s="5" t="s">
        <v>77</v>
      </c>
    </row>
    <row r="22" customFormat="false" ht="15" hidden="false" customHeight="false" outlineLevel="0" collapsed="false">
      <c r="A22" s="4" t="s">
        <v>96</v>
      </c>
      <c r="B22" s="5" t="str">
        <f aca="false">IFERROR(INDEX(Programlar!$B$5:$B$22,MATCH(A22,Programlar!$A$5:$A$22,0)),"")</f>
        <v>9903 · Öncelikli Yatırımlar Teşvik Sistemi</v>
      </c>
      <c r="C22" s="5" t="s">
        <v>300</v>
      </c>
      <c r="D22" s="5" t="s">
        <v>164</v>
      </c>
      <c r="E22" s="5" t="s">
        <v>164</v>
      </c>
      <c r="F22" s="5" t="s">
        <v>164</v>
      </c>
      <c r="G22" s="5" t="s">
        <v>164</v>
      </c>
      <c r="H22" s="5" t="s">
        <v>301</v>
      </c>
      <c r="I22" s="7" t="s">
        <v>20</v>
      </c>
      <c r="J22" s="5" t="s">
        <v>77</v>
      </c>
    </row>
    <row r="23" customFormat="false" ht="15" hidden="false" customHeight="false" outlineLevel="0" collapsed="false">
      <c r="A23" s="4" t="s">
        <v>101</v>
      </c>
      <c r="B23" s="5" t="str">
        <f aca="false">IFERROR(INDEX(Programlar!$B$5:$B$22,MATCH(A23,Programlar!$A$5:$A$22,0)),"")</f>
        <v>9903 · Hedef Yatırımlar Teşvik Sistemi (EK-3)</v>
      </c>
      <c r="C23" s="5" t="s">
        <v>290</v>
      </c>
      <c r="D23" s="5" t="s">
        <v>164</v>
      </c>
      <c r="E23" s="5" t="s">
        <v>164</v>
      </c>
      <c r="F23" s="5" t="s">
        <v>164</v>
      </c>
      <c r="G23" s="5" t="s">
        <v>164</v>
      </c>
      <c r="H23" s="5" t="s">
        <v>291</v>
      </c>
      <c r="I23" s="7" t="s">
        <v>20</v>
      </c>
      <c r="J23" s="5" t="s">
        <v>77</v>
      </c>
    </row>
    <row r="24" customFormat="false" ht="23.85" hidden="false" customHeight="false" outlineLevel="0" collapsed="false">
      <c r="A24" s="4" t="s">
        <v>101</v>
      </c>
      <c r="B24" s="5" t="str">
        <f aca="false">IFERROR(INDEX(Programlar!$B$5:$B$22,MATCH(A24,Programlar!$A$5:$A$22,0)),"")</f>
        <v>9903 · Hedef Yatırımlar Teşvik Sistemi (EK-3)</v>
      </c>
      <c r="C24" s="5" t="s">
        <v>245</v>
      </c>
      <c r="D24" s="5" t="s">
        <v>302</v>
      </c>
      <c r="E24" s="5" t="s">
        <v>247</v>
      </c>
      <c r="F24" s="5" t="s">
        <v>164</v>
      </c>
      <c r="G24" s="5" t="s">
        <v>303</v>
      </c>
      <c r="H24" s="5" t="s">
        <v>304</v>
      </c>
      <c r="I24" s="7" t="s">
        <v>20</v>
      </c>
      <c r="J24" s="5" t="s">
        <v>77</v>
      </c>
    </row>
    <row r="25" customFormat="false" ht="23.85" hidden="false" customHeight="false" outlineLevel="0" collapsed="false">
      <c r="A25" s="4" t="s">
        <v>101</v>
      </c>
      <c r="B25" s="5" t="str">
        <f aca="false">IFERROR(INDEX(Programlar!$B$5:$B$22,MATCH(A25,Programlar!$A$5:$A$22,0)),"")</f>
        <v>9903 · Hedef Yatırımlar Teşvik Sistemi (EK-3)</v>
      </c>
      <c r="C25" s="5" t="s">
        <v>305</v>
      </c>
      <c r="D25" s="5" t="s">
        <v>295</v>
      </c>
      <c r="E25" s="5" t="s">
        <v>306</v>
      </c>
      <c r="F25" s="5" t="s">
        <v>254</v>
      </c>
      <c r="G25" s="5" t="s">
        <v>164</v>
      </c>
      <c r="H25" s="5" t="s">
        <v>307</v>
      </c>
      <c r="I25" s="9" t="s">
        <v>288</v>
      </c>
      <c r="J25" s="5" t="s">
        <v>77</v>
      </c>
    </row>
    <row r="26" customFormat="false" ht="15" hidden="false" customHeight="false" outlineLevel="0" collapsed="false">
      <c r="A26" s="4" t="s">
        <v>107</v>
      </c>
      <c r="B26" s="5" t="str">
        <f aca="false">IFERROR(INDEX(Programlar!$B$5:$B$22,MATCH(A26,Programlar!$A$5:$A$22,0)),"")</f>
        <v>9903 · Bölgesel teşvikler (SGK desteği)</v>
      </c>
      <c r="C26" s="5" t="s">
        <v>308</v>
      </c>
      <c r="D26" s="5" t="s">
        <v>309</v>
      </c>
      <c r="E26" s="5" t="s">
        <v>310</v>
      </c>
      <c r="F26" s="5" t="s">
        <v>311</v>
      </c>
      <c r="G26" s="5" t="s">
        <v>164</v>
      </c>
      <c r="H26" s="5" t="s">
        <v>312</v>
      </c>
      <c r="I26" s="7" t="s">
        <v>20</v>
      </c>
      <c r="J26" s="5" t="s">
        <v>77</v>
      </c>
    </row>
    <row r="27" customFormat="false" ht="15" hidden="false" customHeight="false" outlineLevel="0" collapsed="false">
      <c r="A27" s="4" t="s">
        <v>107</v>
      </c>
      <c r="B27" s="5" t="str">
        <f aca="false">IFERROR(INDEX(Programlar!$B$5:$B$22,MATCH(A27,Programlar!$A$5:$A$22,0)),"")</f>
        <v>9903 · Bölgesel teşvikler (SGK desteği)</v>
      </c>
      <c r="C27" s="5" t="s">
        <v>313</v>
      </c>
      <c r="D27" s="5" t="s">
        <v>314</v>
      </c>
      <c r="E27" s="5" t="s">
        <v>164</v>
      </c>
      <c r="F27" s="5" t="s">
        <v>315</v>
      </c>
      <c r="G27" s="5" t="s">
        <v>164</v>
      </c>
      <c r="H27" s="5" t="s">
        <v>316</v>
      </c>
      <c r="I27" s="7" t="s">
        <v>20</v>
      </c>
      <c r="J27" s="5" t="s">
        <v>77</v>
      </c>
    </row>
    <row r="28" customFormat="false" ht="23.85" hidden="false" customHeight="false" outlineLevel="0" collapsed="false">
      <c r="A28" s="4" t="s">
        <v>107</v>
      </c>
      <c r="B28" s="5" t="str">
        <f aca="false">IFERROR(INDEX(Programlar!$B$5:$B$22,MATCH(A28,Programlar!$A$5:$A$22,0)),"")</f>
        <v>9903 · Bölgesel teşvikler (SGK desteği)</v>
      </c>
      <c r="C28" s="5" t="s">
        <v>317</v>
      </c>
      <c r="D28" s="5" t="s">
        <v>318</v>
      </c>
      <c r="E28" s="5" t="s">
        <v>164</v>
      </c>
      <c r="F28" s="5" t="s">
        <v>164</v>
      </c>
      <c r="G28" s="5" t="s">
        <v>164</v>
      </c>
      <c r="H28" s="5" t="s">
        <v>319</v>
      </c>
      <c r="I28" s="7" t="s">
        <v>20</v>
      </c>
      <c r="J28" s="5" t="s">
        <v>105</v>
      </c>
    </row>
    <row r="29" customFormat="false" ht="23.85" hidden="false" customHeight="false" outlineLevel="0" collapsed="false">
      <c r="A29" s="4" t="s">
        <v>107</v>
      </c>
      <c r="B29" s="5" t="str">
        <f aca="false">IFERROR(INDEX(Programlar!$B$5:$B$22,MATCH(A29,Programlar!$A$5:$A$22,0)),"")</f>
        <v>9903 · Bölgesel teşvikler (SGK desteği)</v>
      </c>
      <c r="C29" s="5" t="s">
        <v>320</v>
      </c>
      <c r="D29" s="5" t="s">
        <v>321</v>
      </c>
      <c r="E29" s="5" t="s">
        <v>164</v>
      </c>
      <c r="F29" s="5" t="s">
        <v>164</v>
      </c>
      <c r="G29" s="5" t="s">
        <v>164</v>
      </c>
      <c r="H29" s="5" t="s">
        <v>322</v>
      </c>
      <c r="I29" s="7" t="s">
        <v>20</v>
      </c>
      <c r="J29" s="5" t="s">
        <v>77</v>
      </c>
    </row>
    <row r="30" customFormat="false" ht="23.85" hidden="false" customHeight="false" outlineLevel="0" collapsed="false">
      <c r="A30" s="4" t="s">
        <v>114</v>
      </c>
      <c r="B30" s="5" t="str">
        <f aca="false">IFERROR(INDEX(Programlar!$B$5:$B$22,MATCH(A30,Programlar!$A$5:$A$22,0)),"")</f>
        <v>Yeşil Dönüşüm Programı (9903 m.12) → Öncelikli / Stratejik</v>
      </c>
      <c r="C30" s="5" t="s">
        <v>323</v>
      </c>
      <c r="D30" s="5" t="s">
        <v>324</v>
      </c>
      <c r="E30" s="5" t="s">
        <v>296</v>
      </c>
      <c r="F30" s="5" t="s">
        <v>164</v>
      </c>
      <c r="G30" s="5" t="s">
        <v>164</v>
      </c>
      <c r="H30" s="5" t="s">
        <v>325</v>
      </c>
      <c r="I30" s="10" t="s">
        <v>257</v>
      </c>
      <c r="J30" s="5" t="s">
        <v>77</v>
      </c>
    </row>
    <row r="31" customFormat="false" ht="23.85" hidden="false" customHeight="false" outlineLevel="0" collapsed="false">
      <c r="A31" s="4" t="s">
        <v>114</v>
      </c>
      <c r="B31" s="5" t="str">
        <f aca="false">IFERROR(INDEX(Programlar!$B$5:$B$22,MATCH(A31,Programlar!$A$5:$A$22,0)),"")</f>
        <v>Yeşil Dönüşüm Programı (9903 m.12) → Öncelikli / Stratejik</v>
      </c>
      <c r="C31" s="5" t="s">
        <v>326</v>
      </c>
      <c r="D31" s="5" t="s">
        <v>327</v>
      </c>
      <c r="E31" s="5" t="s">
        <v>282</v>
      </c>
      <c r="F31" s="5" t="s">
        <v>164</v>
      </c>
      <c r="G31" s="5" t="s">
        <v>164</v>
      </c>
      <c r="H31" s="5" t="s">
        <v>328</v>
      </c>
      <c r="I31" s="10" t="s">
        <v>257</v>
      </c>
      <c r="J31" s="5" t="s">
        <v>258</v>
      </c>
    </row>
    <row r="32" customFormat="false" ht="23.85" hidden="false" customHeight="false" outlineLevel="0" collapsed="false">
      <c r="A32" s="4" t="s">
        <v>114</v>
      </c>
      <c r="B32" s="5" t="str">
        <f aca="false">IFERROR(INDEX(Programlar!$B$5:$B$22,MATCH(A32,Programlar!$A$5:$A$22,0)),"")</f>
        <v>Yeşil Dönüşüm Programı (9903 m.12) → Öncelikli / Stratejik</v>
      </c>
      <c r="C32" s="5" t="s">
        <v>329</v>
      </c>
      <c r="D32" s="5" t="s">
        <v>330</v>
      </c>
      <c r="E32" s="5" t="s">
        <v>164</v>
      </c>
      <c r="F32" s="5" t="s">
        <v>164</v>
      </c>
      <c r="G32" s="5" t="s">
        <v>164</v>
      </c>
      <c r="H32" s="5" t="s">
        <v>331</v>
      </c>
      <c r="I32" s="7" t="s">
        <v>20</v>
      </c>
      <c r="J32" s="5" t="s">
        <v>332</v>
      </c>
    </row>
    <row r="33" customFormat="false" ht="23.85" hidden="false" customHeight="false" outlineLevel="0" collapsed="false">
      <c r="A33" s="4" t="s">
        <v>123</v>
      </c>
      <c r="B33" s="5" t="str">
        <f aca="false">IFERROR(INDEX(Programlar!$B$5:$B$22,MATCH(A33,Programlar!$A$5:$A$22,0)),"")</f>
        <v>Verimlilik Artırıcı Proje (VAP) Desteği</v>
      </c>
      <c r="C33" s="5" t="s">
        <v>333</v>
      </c>
      <c r="D33" s="5" t="s">
        <v>334</v>
      </c>
      <c r="E33" s="5" t="s">
        <v>335</v>
      </c>
      <c r="F33" s="5" t="s">
        <v>336</v>
      </c>
      <c r="G33" s="5" t="s">
        <v>337</v>
      </c>
      <c r="H33" s="5" t="s">
        <v>338</v>
      </c>
      <c r="I33" s="8" t="s">
        <v>339</v>
      </c>
      <c r="J33" s="5" t="s">
        <v>340</v>
      </c>
    </row>
    <row r="34" customFormat="false" ht="15" hidden="false" customHeight="false" outlineLevel="0" collapsed="false">
      <c r="A34" s="4" t="s">
        <v>123</v>
      </c>
      <c r="B34" s="5" t="str">
        <f aca="false">IFERROR(INDEX(Programlar!$B$5:$B$22,MATCH(A34,Programlar!$A$5:$A$22,0)),"")</f>
        <v>Verimlilik Artırıcı Proje (VAP) Desteği</v>
      </c>
      <c r="C34" s="5" t="s">
        <v>341</v>
      </c>
      <c r="D34" s="5" t="s">
        <v>342</v>
      </c>
      <c r="E34" s="5" t="s">
        <v>164</v>
      </c>
      <c r="F34" s="5" t="s">
        <v>343</v>
      </c>
      <c r="G34" s="5" t="s">
        <v>164</v>
      </c>
      <c r="H34" s="5" t="s">
        <v>344</v>
      </c>
      <c r="I34" s="7" t="s">
        <v>20</v>
      </c>
      <c r="J34" s="5" t="s">
        <v>345</v>
      </c>
    </row>
    <row r="35" customFormat="false" ht="15" hidden="false" customHeight="false" outlineLevel="0" collapsed="false">
      <c r="A35" s="4" t="s">
        <v>123</v>
      </c>
      <c r="B35" s="5" t="str">
        <f aca="false">IFERROR(INDEX(Programlar!$B$5:$B$22,MATCH(A35,Programlar!$A$5:$A$22,0)),"")</f>
        <v>Verimlilik Artırıcı Proje (VAP) Desteği</v>
      </c>
      <c r="C35" s="5" t="s">
        <v>346</v>
      </c>
      <c r="D35" s="5" t="s">
        <v>347</v>
      </c>
      <c r="E35" s="5" t="s">
        <v>164</v>
      </c>
      <c r="F35" s="5" t="s">
        <v>164</v>
      </c>
      <c r="G35" s="5" t="s">
        <v>164</v>
      </c>
      <c r="H35" s="5" t="s">
        <v>348</v>
      </c>
      <c r="I35" s="8" t="s">
        <v>22</v>
      </c>
      <c r="J35" s="5" t="s">
        <v>349</v>
      </c>
    </row>
    <row r="36" customFormat="false" ht="15" hidden="false" customHeight="false" outlineLevel="0" collapsed="false">
      <c r="A36" s="4" t="s">
        <v>133</v>
      </c>
      <c r="B36" s="5" t="str">
        <f aca="false">IFERROR(INDEX(Programlar!$B$5:$B$22,MATCH(A36,Programlar!$A$5:$A$22,0)),"")</f>
        <v>Enerji Performans Sözleşmesi (EPS) Desteği</v>
      </c>
      <c r="C36" s="5" t="s">
        <v>333</v>
      </c>
      <c r="D36" s="5" t="s">
        <v>350</v>
      </c>
      <c r="E36" s="5" t="s">
        <v>351</v>
      </c>
      <c r="F36" s="5" t="s">
        <v>164</v>
      </c>
      <c r="G36" s="5" t="s">
        <v>164</v>
      </c>
      <c r="H36" s="5" t="s">
        <v>352</v>
      </c>
      <c r="I36" s="7" t="s">
        <v>20</v>
      </c>
      <c r="J36" s="5" t="s">
        <v>353</v>
      </c>
    </row>
    <row r="37" customFormat="false" ht="23.85" hidden="false" customHeight="false" outlineLevel="0" collapsed="false">
      <c r="A37" s="4" t="s">
        <v>133</v>
      </c>
      <c r="B37" s="5" t="str">
        <f aca="false">IFERROR(INDEX(Programlar!$B$5:$B$22,MATCH(A37,Programlar!$A$5:$A$22,0)),"")</f>
        <v>Enerji Performans Sözleşmesi (EPS) Desteği</v>
      </c>
      <c r="C37" s="5" t="s">
        <v>354</v>
      </c>
      <c r="D37" s="5" t="s">
        <v>355</v>
      </c>
      <c r="E37" s="5" t="s">
        <v>164</v>
      </c>
      <c r="F37" s="5" t="s">
        <v>164</v>
      </c>
      <c r="G37" s="5" t="s">
        <v>164</v>
      </c>
      <c r="H37" s="5" t="s">
        <v>356</v>
      </c>
      <c r="I37" s="7" t="s">
        <v>20</v>
      </c>
      <c r="J37" s="5" t="s">
        <v>353</v>
      </c>
    </row>
    <row r="38" customFormat="false" ht="15" hidden="false" customHeight="false" outlineLevel="0" collapsed="false">
      <c r="A38" s="4" t="s">
        <v>140</v>
      </c>
      <c r="B38" s="5" t="str">
        <f aca="false">IFERROR(INDEX(Programlar!$B$5:$B$22,MATCH(A38,Programlar!$A$5:$A$22,0)),"")</f>
        <v>Enerji ve Karbon Azaltım (EKA) Desteği</v>
      </c>
      <c r="C38" s="5" t="s">
        <v>357</v>
      </c>
      <c r="D38" s="5" t="s">
        <v>358</v>
      </c>
      <c r="E38" s="5" t="s">
        <v>359</v>
      </c>
      <c r="F38" s="5" t="s">
        <v>360</v>
      </c>
      <c r="G38" s="5" t="s">
        <v>361</v>
      </c>
      <c r="H38" s="5" t="s">
        <v>362</v>
      </c>
      <c r="I38" s="8" t="s">
        <v>339</v>
      </c>
      <c r="J38" s="5" t="s">
        <v>363</v>
      </c>
    </row>
    <row r="39" customFormat="false" ht="15" hidden="false" customHeight="false" outlineLevel="0" collapsed="false">
      <c r="A39" s="4" t="s">
        <v>150</v>
      </c>
      <c r="B39" s="5" t="str">
        <f aca="false">IFERROR(INDEX(Programlar!$B$5:$B$22,MATCH(A39,Programlar!$A$5:$A$22,0)),"")</f>
        <v>KOSGEB Yeşil Sanayi Destek Programı</v>
      </c>
      <c r="C39" s="5" t="s">
        <v>364</v>
      </c>
      <c r="D39" s="5" t="s">
        <v>365</v>
      </c>
      <c r="E39" s="5" t="s">
        <v>366</v>
      </c>
      <c r="F39" s="5" t="s">
        <v>367</v>
      </c>
      <c r="G39" s="5" t="s">
        <v>164</v>
      </c>
      <c r="H39" s="5" t="s">
        <v>368</v>
      </c>
      <c r="I39" s="8" t="s">
        <v>22</v>
      </c>
      <c r="J39" s="5" t="s">
        <v>159</v>
      </c>
    </row>
    <row r="40" customFormat="false" ht="15" hidden="false" customHeight="false" outlineLevel="0" collapsed="false">
      <c r="A40" s="4" t="s">
        <v>150</v>
      </c>
      <c r="B40" s="5" t="str">
        <f aca="false">IFERROR(INDEX(Programlar!$B$5:$B$22,MATCH(A40,Programlar!$A$5:$A$22,0)),"")</f>
        <v>KOSGEB Yeşil Sanayi Destek Programı</v>
      </c>
      <c r="C40" s="5" t="s">
        <v>369</v>
      </c>
      <c r="D40" s="5" t="s">
        <v>370</v>
      </c>
      <c r="E40" s="5" t="s">
        <v>371</v>
      </c>
      <c r="F40" s="5" t="s">
        <v>367</v>
      </c>
      <c r="G40" s="5" t="s">
        <v>164</v>
      </c>
      <c r="H40" s="5" t="s">
        <v>368</v>
      </c>
      <c r="I40" s="8" t="s">
        <v>22</v>
      </c>
      <c r="J40" s="5" t="s">
        <v>159</v>
      </c>
    </row>
    <row r="41" customFormat="false" ht="23.85" hidden="false" customHeight="false" outlineLevel="0" collapsed="false">
      <c r="A41" s="4" t="s">
        <v>167</v>
      </c>
      <c r="B41" s="5" t="str">
        <f aca="false">IFERROR(INDEX(Programlar!$B$5:$B$22,MATCH(A41,Programlar!$A$5:$A$22,0)),"")</f>
        <v>TÜBİTAK 1832 Sanayide Yeşil Dönüşüm (Ar-Ge)</v>
      </c>
      <c r="C41" s="5" t="s">
        <v>170</v>
      </c>
      <c r="D41" s="5" t="s">
        <v>372</v>
      </c>
      <c r="E41" s="5" t="s">
        <v>373</v>
      </c>
      <c r="F41" s="5" t="s">
        <v>164</v>
      </c>
      <c r="G41" s="5" t="s">
        <v>164</v>
      </c>
      <c r="H41" s="5" t="s">
        <v>374</v>
      </c>
      <c r="I41" s="8" t="s">
        <v>22</v>
      </c>
      <c r="J41" s="5" t="s">
        <v>177</v>
      </c>
    </row>
    <row r="42" customFormat="false" ht="15" hidden="false" customHeight="false" outlineLevel="0" collapsed="false">
      <c r="A42" s="4" t="s">
        <v>179</v>
      </c>
      <c r="B42" s="5" t="str">
        <f aca="false">IFERROR(INDEX(Programlar!$B$5:$B$22,MATCH(A42,Programlar!$A$5:$A$22,0)),"")</f>
        <v>HIT-30 Yüksek Teknoloji Yatırım Programı</v>
      </c>
      <c r="C42" s="5" t="s">
        <v>375</v>
      </c>
      <c r="D42" s="5" t="s">
        <v>376</v>
      </c>
      <c r="E42" s="5" t="s">
        <v>377</v>
      </c>
      <c r="F42" s="5" t="s">
        <v>378</v>
      </c>
      <c r="G42" s="5" t="s">
        <v>164</v>
      </c>
      <c r="H42" s="5" t="s">
        <v>379</v>
      </c>
      <c r="I42" s="8" t="s">
        <v>22</v>
      </c>
      <c r="J42" s="5" t="s">
        <v>187</v>
      </c>
    </row>
    <row r="43" customFormat="false" ht="15" hidden="false" customHeight="false" outlineLevel="0" collapsed="false">
      <c r="A43" s="4" t="s">
        <v>179</v>
      </c>
      <c r="B43" s="5" t="str">
        <f aca="false">IFERROR(INDEX(Programlar!$B$5:$B$22,MATCH(A43,Programlar!$A$5:$A$22,0)),"")</f>
        <v>HIT-30 Yüksek Teknoloji Yatırım Programı</v>
      </c>
      <c r="C43" s="5" t="s">
        <v>380</v>
      </c>
      <c r="D43" s="5" t="s">
        <v>381</v>
      </c>
      <c r="E43" s="5" t="s">
        <v>164</v>
      </c>
      <c r="F43" s="5" t="s">
        <v>164</v>
      </c>
      <c r="G43" s="5" t="s">
        <v>164</v>
      </c>
      <c r="H43" s="5" t="s">
        <v>379</v>
      </c>
      <c r="I43" s="8" t="s">
        <v>22</v>
      </c>
      <c r="J43" s="5" t="s">
        <v>187</v>
      </c>
    </row>
    <row r="44" customFormat="false" ht="23.85" hidden="false" customHeight="false" outlineLevel="0" collapsed="false">
      <c r="A44" s="4" t="s">
        <v>179</v>
      </c>
      <c r="B44" s="5" t="str">
        <f aca="false">IFERROR(INDEX(Programlar!$B$5:$B$22,MATCH(A44,Programlar!$A$5:$A$22,0)),"")</f>
        <v>HIT-30 Yüksek Teknoloji Yatırım Programı</v>
      </c>
      <c r="C44" s="5" t="s">
        <v>382</v>
      </c>
      <c r="D44" s="5" t="s">
        <v>383</v>
      </c>
      <c r="E44" s="5" t="s">
        <v>164</v>
      </c>
      <c r="F44" s="5" t="s">
        <v>164</v>
      </c>
      <c r="G44" s="5" t="s">
        <v>164</v>
      </c>
      <c r="H44" s="5" t="s">
        <v>379</v>
      </c>
      <c r="I44" s="8" t="s">
        <v>22</v>
      </c>
      <c r="J44" s="5" t="s">
        <v>187</v>
      </c>
    </row>
    <row r="45" customFormat="false" ht="15" hidden="false" customHeight="false" outlineLevel="0" collapsed="false">
      <c r="A45" s="4" t="s">
        <v>179</v>
      </c>
      <c r="B45" s="5" t="str">
        <f aca="false">IFERROR(INDEX(Programlar!$B$5:$B$22,MATCH(A45,Programlar!$A$5:$A$22,0)),"")</f>
        <v>HIT-30 Yüksek Teknoloji Yatırım Programı</v>
      </c>
      <c r="C45" s="5" t="s">
        <v>384</v>
      </c>
      <c r="D45" s="5" t="s">
        <v>385</v>
      </c>
      <c r="E45" s="5" t="s">
        <v>386</v>
      </c>
      <c r="F45" s="5" t="s">
        <v>72</v>
      </c>
      <c r="G45" s="5" t="s">
        <v>164</v>
      </c>
      <c r="H45" s="5" t="s">
        <v>387</v>
      </c>
      <c r="I45" s="8" t="s">
        <v>22</v>
      </c>
      <c r="J45" s="5" t="s">
        <v>187</v>
      </c>
    </row>
    <row r="46" customFormat="false" ht="15" hidden="false" customHeight="false" outlineLevel="0" collapsed="false">
      <c r="A46" s="4" t="s">
        <v>179</v>
      </c>
      <c r="B46" s="5" t="str">
        <f aca="false">IFERROR(INDEX(Programlar!$B$5:$B$22,MATCH(A46,Programlar!$A$5:$A$22,0)),"")</f>
        <v>HIT-30 Yüksek Teknoloji Yatırım Programı</v>
      </c>
      <c r="C46" s="5" t="s">
        <v>388</v>
      </c>
      <c r="D46" s="5" t="s">
        <v>389</v>
      </c>
      <c r="E46" s="5" t="s">
        <v>390</v>
      </c>
      <c r="F46" s="5" t="s">
        <v>72</v>
      </c>
      <c r="G46" s="5" t="s">
        <v>164</v>
      </c>
      <c r="H46" s="5" t="s">
        <v>387</v>
      </c>
      <c r="I46" s="8" t="s">
        <v>22</v>
      </c>
      <c r="J46" s="5" t="s">
        <v>187</v>
      </c>
    </row>
    <row r="47" customFormat="false" ht="15" hidden="false" customHeight="false" outlineLevel="0" collapsed="false">
      <c r="A47" s="4" t="s">
        <v>179</v>
      </c>
      <c r="B47" s="5" t="str">
        <f aca="false">IFERROR(INDEX(Programlar!$B$5:$B$22,MATCH(A47,Programlar!$A$5:$A$22,0)),"")</f>
        <v>HIT-30 Yüksek Teknoloji Yatırım Programı</v>
      </c>
      <c r="C47" s="5" t="s">
        <v>391</v>
      </c>
      <c r="D47" s="5" t="s">
        <v>392</v>
      </c>
      <c r="E47" s="5" t="s">
        <v>393</v>
      </c>
      <c r="F47" s="5" t="s">
        <v>394</v>
      </c>
      <c r="G47" s="5" t="s">
        <v>164</v>
      </c>
      <c r="H47" s="5" t="s">
        <v>387</v>
      </c>
      <c r="I47" s="8" t="s">
        <v>22</v>
      </c>
      <c r="J47" s="5" t="s">
        <v>187</v>
      </c>
    </row>
    <row r="48" customFormat="false" ht="23.85" hidden="false" customHeight="false" outlineLevel="0" collapsed="false">
      <c r="A48" s="4" t="s">
        <v>189</v>
      </c>
      <c r="B48" s="5" t="str">
        <f aca="false">IFERROR(INDEX(Programlar!$B$5:$B$22,MATCH(A48,Programlar!$A$5:$A$22,0)),"")</f>
        <v>YEKDEM (Yenilenebilir Enerji Kaynakları Destekleme Mekanizması)</v>
      </c>
      <c r="C48" s="5" t="s">
        <v>395</v>
      </c>
      <c r="D48" s="5" t="s">
        <v>396</v>
      </c>
      <c r="E48" s="5" t="s">
        <v>397</v>
      </c>
      <c r="F48" s="5" t="s">
        <v>398</v>
      </c>
      <c r="G48" s="5" t="s">
        <v>399</v>
      </c>
      <c r="H48" s="5" t="s">
        <v>400</v>
      </c>
      <c r="I48" s="7" t="s">
        <v>20</v>
      </c>
      <c r="J48" s="5" t="s">
        <v>198</v>
      </c>
    </row>
    <row r="49" customFormat="false" ht="23.85" hidden="false" customHeight="false" outlineLevel="0" collapsed="false">
      <c r="A49" s="4" t="s">
        <v>189</v>
      </c>
      <c r="B49" s="5" t="str">
        <f aca="false">IFERROR(INDEX(Programlar!$B$5:$B$22,MATCH(A49,Programlar!$A$5:$A$22,0)),"")</f>
        <v>YEKDEM (Yenilenebilir Enerji Kaynakları Destekleme Mekanizması)</v>
      </c>
      <c r="C49" s="5" t="s">
        <v>401</v>
      </c>
      <c r="D49" s="5" t="s">
        <v>402</v>
      </c>
      <c r="E49" s="5" t="s">
        <v>164</v>
      </c>
      <c r="F49" s="5" t="s">
        <v>403</v>
      </c>
      <c r="G49" s="5" t="s">
        <v>164</v>
      </c>
      <c r="H49" s="5" t="s">
        <v>404</v>
      </c>
      <c r="I49" s="7" t="s">
        <v>20</v>
      </c>
      <c r="J49" s="5" t="s">
        <v>198</v>
      </c>
    </row>
    <row r="50" customFormat="false" ht="23.85" hidden="false" customHeight="false" outlineLevel="0" collapsed="false">
      <c r="A50" s="4" t="s">
        <v>200</v>
      </c>
      <c r="B50" s="5" t="str">
        <f aca="false">IFERROR(INDEX(Programlar!$B$5:$B$22,MATCH(A50,Programlar!$A$5:$A$22,0)),"")</f>
        <v>Lisanssız üretim (öz tüketim, mahsuplaşma, ihtiyaç fazlası)</v>
      </c>
      <c r="C50" s="5" t="s">
        <v>405</v>
      </c>
      <c r="D50" s="5" t="s">
        <v>406</v>
      </c>
      <c r="E50" s="5" t="s">
        <v>407</v>
      </c>
      <c r="F50" s="5" t="s">
        <v>315</v>
      </c>
      <c r="G50" s="5" t="s">
        <v>164</v>
      </c>
      <c r="H50" s="5" t="s">
        <v>408</v>
      </c>
      <c r="I50" s="7" t="s">
        <v>20</v>
      </c>
      <c r="J50" s="5" t="s">
        <v>409</v>
      </c>
    </row>
    <row r="51" customFormat="false" ht="23.85" hidden="false" customHeight="false" outlineLevel="0" collapsed="false">
      <c r="A51" s="4" t="s">
        <v>200</v>
      </c>
      <c r="B51" s="5" t="str">
        <f aca="false">IFERROR(INDEX(Programlar!$B$5:$B$22,MATCH(A51,Programlar!$A$5:$A$22,0)),"")</f>
        <v>Lisanssız üretim (öz tüketim, mahsuplaşma, ihtiyaç fazlası)</v>
      </c>
      <c r="C51" s="5" t="s">
        <v>410</v>
      </c>
      <c r="D51" s="5" t="s">
        <v>411</v>
      </c>
      <c r="E51" s="5" t="s">
        <v>164</v>
      </c>
      <c r="F51" s="5" t="s">
        <v>412</v>
      </c>
      <c r="G51" s="5" t="s">
        <v>413</v>
      </c>
      <c r="H51" s="5" t="s">
        <v>414</v>
      </c>
      <c r="I51" s="7" t="s">
        <v>20</v>
      </c>
      <c r="J51" s="5" t="s">
        <v>415</v>
      </c>
    </row>
    <row r="52" customFormat="false" ht="23.85" hidden="false" customHeight="false" outlineLevel="0" collapsed="false">
      <c r="A52" s="4" t="s">
        <v>209</v>
      </c>
      <c r="B52" s="5" t="str">
        <f aca="false">IFERROR(INDEX(Programlar!$B$5:$B$22,MATCH(A52,Programlar!$A$5:$A$22,0)),"")</f>
        <v>YEKA 2026 (GES-2026, RES-2026 yarışmaları)</v>
      </c>
      <c r="C52" s="5" t="s">
        <v>416</v>
      </c>
      <c r="D52" s="5" t="s">
        <v>417</v>
      </c>
      <c r="E52" s="5" t="s">
        <v>164</v>
      </c>
      <c r="F52" s="5" t="s">
        <v>418</v>
      </c>
      <c r="G52" s="5" t="s">
        <v>164</v>
      </c>
      <c r="H52" s="5" t="s">
        <v>419</v>
      </c>
      <c r="I52" s="7" t="s">
        <v>20</v>
      </c>
      <c r="J52" s="5" t="s">
        <v>420</v>
      </c>
    </row>
    <row r="53" customFormat="false" ht="15" hidden="false" customHeight="false" outlineLevel="0" collapsed="false">
      <c r="A53" s="4" t="s">
        <v>209</v>
      </c>
      <c r="B53" s="5" t="str">
        <f aca="false">IFERROR(INDEX(Programlar!$B$5:$B$22,MATCH(A53,Programlar!$A$5:$A$22,0)),"")</f>
        <v>YEKA 2026 (GES-2026, RES-2026 yarışmaları)</v>
      </c>
      <c r="C53" s="5" t="s">
        <v>421</v>
      </c>
      <c r="D53" s="5" t="s">
        <v>164</v>
      </c>
      <c r="E53" s="5" t="s">
        <v>164</v>
      </c>
      <c r="F53" s="5" t="s">
        <v>422</v>
      </c>
      <c r="G53" s="5" t="s">
        <v>164</v>
      </c>
      <c r="H53" s="5" t="s">
        <v>423</v>
      </c>
      <c r="I53" s="7" t="s">
        <v>20</v>
      </c>
      <c r="J53" s="5" t="s">
        <v>420</v>
      </c>
    </row>
  </sheetData>
  <autoFilter ref="A4:J5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44"/>
    <col collapsed="false" customWidth="true" hidden="false" outlineLevel="0" max="7" min="6" style="0" width="9"/>
    <col collapsed="false" customWidth="true" hidden="false" outlineLevel="0" max="8" min="8" style="0" width="44"/>
    <col collapsed="false" customWidth="true" hidden="false" outlineLevel="0" max="9" min="9" style="0" width="30"/>
    <col collapsed="false" customWidth="true" hidden="false" outlineLevel="0" max="10" min="10" style="0" width="18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424</v>
      </c>
    </row>
    <row r="2" customFormat="false" ht="15" hidden="false" customHeight="false" outlineLevel="0" collapsed="false">
      <c r="A2" s="2" t="s">
        <v>425</v>
      </c>
    </row>
    <row r="4" customFormat="false" ht="30" hidden="false" customHeight="true" outlineLevel="0" collapsed="false">
      <c r="A4" s="3" t="s">
        <v>426</v>
      </c>
      <c r="B4" s="3" t="s">
        <v>427</v>
      </c>
      <c r="C4" s="3" t="s">
        <v>428</v>
      </c>
      <c r="D4" s="3" t="s">
        <v>429</v>
      </c>
      <c r="E4" s="3" t="s">
        <v>430</v>
      </c>
      <c r="F4" s="3" t="s">
        <v>431</v>
      </c>
      <c r="G4" s="3" t="s">
        <v>432</v>
      </c>
      <c r="H4" s="3" t="s">
        <v>3</v>
      </c>
      <c r="I4" s="3" t="s">
        <v>64</v>
      </c>
      <c r="J4" s="3" t="s">
        <v>18</v>
      </c>
      <c r="K4" s="3" t="s">
        <v>65</v>
      </c>
    </row>
    <row r="5" customFormat="false" ht="15" hidden="false" customHeight="false" outlineLevel="0" collapsed="false">
      <c r="A5" s="4" t="s">
        <v>433</v>
      </c>
      <c r="B5" s="5" t="s">
        <v>434</v>
      </c>
      <c r="C5" s="5" t="s">
        <v>435</v>
      </c>
      <c r="D5" s="13" t="s">
        <v>436</v>
      </c>
      <c r="E5" s="5" t="s">
        <v>437</v>
      </c>
      <c r="F5" s="13" t="s">
        <v>438</v>
      </c>
      <c r="G5" s="13" t="s">
        <v>439</v>
      </c>
      <c r="H5" s="5" t="s">
        <v>440</v>
      </c>
      <c r="I5" s="5" t="s">
        <v>441</v>
      </c>
      <c r="J5" s="7" t="s">
        <v>20</v>
      </c>
      <c r="K5" s="5" t="s">
        <v>77</v>
      </c>
    </row>
    <row r="6" customFormat="false" ht="15" hidden="false" customHeight="false" outlineLevel="0" collapsed="false">
      <c r="A6" s="4" t="s">
        <v>442</v>
      </c>
      <c r="B6" s="5" t="s">
        <v>434</v>
      </c>
      <c r="C6" s="5" t="s">
        <v>443</v>
      </c>
      <c r="D6" s="13" t="s">
        <v>444</v>
      </c>
      <c r="E6" s="5" t="s">
        <v>445</v>
      </c>
      <c r="F6" s="13" t="s">
        <v>438</v>
      </c>
      <c r="G6" s="13" t="s">
        <v>446</v>
      </c>
      <c r="H6" s="5" t="s">
        <v>447</v>
      </c>
      <c r="I6" s="5" t="s">
        <v>448</v>
      </c>
      <c r="J6" s="7" t="s">
        <v>20</v>
      </c>
      <c r="K6" s="5" t="s">
        <v>77</v>
      </c>
    </row>
    <row r="7" customFormat="false" ht="15" hidden="false" customHeight="false" outlineLevel="0" collapsed="false">
      <c r="A7" s="4" t="s">
        <v>449</v>
      </c>
      <c r="B7" s="5" t="s">
        <v>450</v>
      </c>
      <c r="C7" s="5" t="s">
        <v>451</v>
      </c>
      <c r="D7" s="13" t="s">
        <v>444</v>
      </c>
      <c r="E7" s="5" t="s">
        <v>452</v>
      </c>
      <c r="F7" s="13" t="s">
        <v>453</v>
      </c>
      <c r="G7" s="13" t="s">
        <v>439</v>
      </c>
      <c r="H7" s="5" t="s">
        <v>454</v>
      </c>
      <c r="I7" s="5" t="s">
        <v>455</v>
      </c>
      <c r="J7" s="10" t="s">
        <v>257</v>
      </c>
      <c r="K7" s="5" t="s">
        <v>258</v>
      </c>
    </row>
    <row r="8" customFormat="false" ht="15" hidden="false" customHeight="false" outlineLevel="0" collapsed="false">
      <c r="A8" s="4" t="s">
        <v>456</v>
      </c>
      <c r="B8" s="5" t="s">
        <v>450</v>
      </c>
      <c r="C8" s="5" t="s">
        <v>457</v>
      </c>
      <c r="D8" s="13" t="s">
        <v>458</v>
      </c>
      <c r="E8" s="5" t="s">
        <v>459</v>
      </c>
      <c r="F8" s="13" t="s">
        <v>460</v>
      </c>
      <c r="G8" s="13" t="s">
        <v>439</v>
      </c>
      <c r="H8" s="5" t="s">
        <v>461</v>
      </c>
      <c r="I8" s="5" t="s">
        <v>462</v>
      </c>
      <c r="J8" s="7" t="s">
        <v>20</v>
      </c>
      <c r="K8" s="5" t="s">
        <v>463</v>
      </c>
    </row>
    <row r="9" customFormat="false" ht="15" hidden="false" customHeight="false" outlineLevel="0" collapsed="false">
      <c r="A9" s="4" t="s">
        <v>464</v>
      </c>
      <c r="B9" s="5" t="s">
        <v>101</v>
      </c>
      <c r="C9" s="5" t="s">
        <v>457</v>
      </c>
      <c r="D9" s="13" t="s">
        <v>465</v>
      </c>
      <c r="E9" s="5" t="s">
        <v>466</v>
      </c>
      <c r="F9" s="13" t="s">
        <v>460</v>
      </c>
      <c r="G9" s="13" t="s">
        <v>446</v>
      </c>
      <c r="H9" s="5" t="s">
        <v>467</v>
      </c>
      <c r="I9" s="5" t="s">
        <v>468</v>
      </c>
      <c r="J9" s="7" t="s">
        <v>20</v>
      </c>
      <c r="K9" s="5" t="s">
        <v>463</v>
      </c>
    </row>
    <row r="10" customFormat="false" ht="23.85" hidden="false" customHeight="false" outlineLevel="0" collapsed="false">
      <c r="A10" s="4" t="s">
        <v>469</v>
      </c>
      <c r="B10" s="5" t="s">
        <v>450</v>
      </c>
      <c r="C10" s="5" t="s">
        <v>470</v>
      </c>
      <c r="D10" s="13" t="s">
        <v>444</v>
      </c>
      <c r="E10" s="5" t="s">
        <v>471</v>
      </c>
      <c r="F10" s="13" t="s">
        <v>472</v>
      </c>
      <c r="G10" s="13" t="s">
        <v>439</v>
      </c>
      <c r="H10" s="5" t="s">
        <v>473</v>
      </c>
      <c r="I10" s="5" t="s">
        <v>474</v>
      </c>
      <c r="J10" s="7" t="s">
        <v>20</v>
      </c>
      <c r="K10" s="5" t="s">
        <v>463</v>
      </c>
    </row>
    <row r="11" customFormat="false" ht="15" hidden="false" customHeight="false" outlineLevel="0" collapsed="false">
      <c r="A11" s="4" t="s">
        <v>475</v>
      </c>
      <c r="B11" s="5" t="s">
        <v>101</v>
      </c>
      <c r="C11" s="5" t="s">
        <v>476</v>
      </c>
      <c r="D11" s="13" t="s">
        <v>477</v>
      </c>
      <c r="E11" s="5" t="s">
        <v>478</v>
      </c>
      <c r="F11" s="13" t="s">
        <v>164</v>
      </c>
      <c r="G11" s="13" t="s">
        <v>439</v>
      </c>
      <c r="H11" s="5" t="s">
        <v>479</v>
      </c>
      <c r="I11" s="5" t="s">
        <v>480</v>
      </c>
      <c r="J11" s="7" t="s">
        <v>20</v>
      </c>
      <c r="K11" s="5" t="s">
        <v>463</v>
      </c>
    </row>
    <row r="12" customFormat="false" ht="15" hidden="false" customHeight="false" outlineLevel="0" collapsed="false">
      <c r="A12" s="4" t="s">
        <v>481</v>
      </c>
      <c r="B12" s="5" t="s">
        <v>101</v>
      </c>
      <c r="C12" s="5" t="s">
        <v>482</v>
      </c>
      <c r="D12" s="13" t="s">
        <v>477</v>
      </c>
      <c r="E12" s="5" t="s">
        <v>483</v>
      </c>
      <c r="F12" s="13" t="s">
        <v>164</v>
      </c>
      <c r="G12" s="13" t="s">
        <v>484</v>
      </c>
      <c r="H12" s="5" t="s">
        <v>485</v>
      </c>
      <c r="I12" s="5" t="s">
        <v>486</v>
      </c>
      <c r="J12" s="7" t="s">
        <v>20</v>
      </c>
      <c r="K12" s="5" t="s">
        <v>105</v>
      </c>
    </row>
    <row r="13" customFormat="false" ht="15" hidden="false" customHeight="false" outlineLevel="0" collapsed="false">
      <c r="A13" s="4" t="s">
        <v>487</v>
      </c>
      <c r="B13" s="5" t="s">
        <v>101</v>
      </c>
      <c r="C13" s="5" t="s">
        <v>488</v>
      </c>
      <c r="D13" s="13" t="s">
        <v>465</v>
      </c>
      <c r="E13" s="5" t="s">
        <v>489</v>
      </c>
      <c r="F13" s="13" t="s">
        <v>460</v>
      </c>
      <c r="G13" s="13" t="s">
        <v>446</v>
      </c>
      <c r="H13" s="5" t="s">
        <v>490</v>
      </c>
      <c r="I13" s="5" t="s">
        <v>491</v>
      </c>
      <c r="J13" s="12" t="s">
        <v>492</v>
      </c>
      <c r="K13" s="5" t="s">
        <v>463</v>
      </c>
    </row>
    <row r="14" customFormat="false" ht="23.85" hidden="false" customHeight="false" outlineLevel="0" collapsed="false">
      <c r="A14" s="4" t="s">
        <v>493</v>
      </c>
      <c r="B14" s="5" t="s">
        <v>101</v>
      </c>
      <c r="C14" s="5" t="s">
        <v>488</v>
      </c>
      <c r="D14" s="13" t="s">
        <v>458</v>
      </c>
      <c r="E14" s="5" t="s">
        <v>494</v>
      </c>
      <c r="F14" s="13" t="s">
        <v>460</v>
      </c>
      <c r="G14" s="13" t="s">
        <v>439</v>
      </c>
      <c r="H14" s="5" t="s">
        <v>495</v>
      </c>
      <c r="I14" s="5" t="s">
        <v>496</v>
      </c>
      <c r="J14" s="12" t="s">
        <v>492</v>
      </c>
      <c r="K14" s="5" t="s">
        <v>463</v>
      </c>
    </row>
    <row r="15" customFormat="false" ht="15" hidden="false" customHeight="false" outlineLevel="0" collapsed="false">
      <c r="A15" s="4" t="s">
        <v>497</v>
      </c>
      <c r="B15" s="5" t="s">
        <v>101</v>
      </c>
      <c r="C15" s="5" t="s">
        <v>498</v>
      </c>
      <c r="D15" s="13" t="s">
        <v>477</v>
      </c>
      <c r="E15" s="5" t="s">
        <v>499</v>
      </c>
      <c r="F15" s="13" t="s">
        <v>164</v>
      </c>
      <c r="G15" s="13" t="s">
        <v>439</v>
      </c>
      <c r="H15" s="5" t="s">
        <v>500</v>
      </c>
      <c r="I15" s="5" t="s">
        <v>501</v>
      </c>
      <c r="J15" s="7" t="s">
        <v>20</v>
      </c>
      <c r="K15" s="5" t="s">
        <v>463</v>
      </c>
    </row>
    <row r="16" customFormat="false" ht="15" hidden="false" customHeight="false" outlineLevel="0" collapsed="false">
      <c r="A16" s="4" t="s">
        <v>502</v>
      </c>
      <c r="B16" s="5" t="s">
        <v>96</v>
      </c>
      <c r="C16" s="5" t="s">
        <v>503</v>
      </c>
      <c r="D16" s="13" t="s">
        <v>477</v>
      </c>
      <c r="E16" s="5" t="s">
        <v>504</v>
      </c>
      <c r="F16" s="13" t="s">
        <v>505</v>
      </c>
      <c r="G16" s="13" t="s">
        <v>439</v>
      </c>
      <c r="H16" s="5" t="s">
        <v>506</v>
      </c>
      <c r="I16" s="5" t="s">
        <v>507</v>
      </c>
      <c r="J16" s="7" t="s">
        <v>20</v>
      </c>
      <c r="K16" s="5" t="s">
        <v>77</v>
      </c>
    </row>
    <row r="17" customFormat="false" ht="15" hidden="false" customHeight="false" outlineLevel="0" collapsed="false">
      <c r="A17" s="4" t="s">
        <v>508</v>
      </c>
      <c r="B17" s="5" t="s">
        <v>96</v>
      </c>
      <c r="C17" s="5" t="s">
        <v>509</v>
      </c>
      <c r="D17" s="13" t="s">
        <v>436</v>
      </c>
      <c r="E17" s="5" t="s">
        <v>510</v>
      </c>
      <c r="F17" s="13" t="s">
        <v>472</v>
      </c>
      <c r="G17" s="13" t="s">
        <v>439</v>
      </c>
      <c r="H17" s="5" t="s">
        <v>511</v>
      </c>
      <c r="I17" s="5" t="s">
        <v>507</v>
      </c>
      <c r="J17" s="7" t="s">
        <v>20</v>
      </c>
      <c r="K17" s="5" t="s">
        <v>77</v>
      </c>
    </row>
    <row r="18" customFormat="false" ht="15" hidden="false" customHeight="false" outlineLevel="0" collapsed="false">
      <c r="A18" s="4" t="s">
        <v>512</v>
      </c>
      <c r="B18" s="5" t="s">
        <v>96</v>
      </c>
      <c r="C18" s="5" t="s">
        <v>503</v>
      </c>
      <c r="D18" s="13" t="s">
        <v>513</v>
      </c>
      <c r="E18" s="5" t="s">
        <v>514</v>
      </c>
      <c r="F18" s="13" t="s">
        <v>164</v>
      </c>
      <c r="G18" s="13" t="s">
        <v>484</v>
      </c>
      <c r="H18" s="5"/>
      <c r="I18" s="5" t="s">
        <v>299</v>
      </c>
      <c r="J18" s="7" t="s">
        <v>20</v>
      </c>
      <c r="K18" s="5" t="s">
        <v>77</v>
      </c>
    </row>
    <row r="19" customFormat="false" ht="23.85" hidden="false" customHeight="false" outlineLevel="0" collapsed="false">
      <c r="A19" s="4" t="s">
        <v>515</v>
      </c>
      <c r="B19" s="5" t="s">
        <v>96</v>
      </c>
      <c r="C19" s="5" t="s">
        <v>516</v>
      </c>
      <c r="D19" s="13" t="s">
        <v>477</v>
      </c>
      <c r="E19" s="5" t="s">
        <v>517</v>
      </c>
      <c r="F19" s="13" t="s">
        <v>164</v>
      </c>
      <c r="G19" s="13" t="s">
        <v>484</v>
      </c>
      <c r="H19" s="5" t="s">
        <v>518</v>
      </c>
      <c r="I19" s="5" t="s">
        <v>519</v>
      </c>
      <c r="J19" s="7" t="s">
        <v>20</v>
      </c>
      <c r="K19" s="5" t="s">
        <v>77</v>
      </c>
    </row>
    <row r="20" customFormat="false" ht="15" hidden="false" customHeight="false" outlineLevel="0" collapsed="false">
      <c r="A20" s="4" t="s">
        <v>520</v>
      </c>
      <c r="B20" s="5" t="s">
        <v>96</v>
      </c>
      <c r="C20" s="5" t="s">
        <v>521</v>
      </c>
      <c r="D20" s="13" t="s">
        <v>444</v>
      </c>
      <c r="E20" s="5" t="s">
        <v>522</v>
      </c>
      <c r="F20" s="13" t="s">
        <v>453</v>
      </c>
      <c r="G20" s="13" t="s">
        <v>439</v>
      </c>
      <c r="H20" s="5" t="s">
        <v>523</v>
      </c>
      <c r="I20" s="5" t="s">
        <v>524</v>
      </c>
      <c r="J20" s="9" t="s">
        <v>288</v>
      </c>
      <c r="K20" s="5" t="s">
        <v>77</v>
      </c>
    </row>
    <row r="21" customFormat="false" ht="15" hidden="false" customHeight="false" outlineLevel="0" collapsed="false">
      <c r="A21" s="4" t="s">
        <v>525</v>
      </c>
      <c r="B21" s="5" t="s">
        <v>101</v>
      </c>
      <c r="C21" s="5" t="s">
        <v>526</v>
      </c>
      <c r="D21" s="13" t="s">
        <v>513</v>
      </c>
      <c r="E21" s="5" t="s">
        <v>527</v>
      </c>
      <c r="F21" s="13" t="s">
        <v>164</v>
      </c>
      <c r="G21" s="13" t="s">
        <v>484</v>
      </c>
      <c r="H21" s="5" t="s">
        <v>528</v>
      </c>
      <c r="I21" s="5" t="s">
        <v>529</v>
      </c>
      <c r="J21" s="7" t="s">
        <v>20</v>
      </c>
      <c r="K21" s="5" t="s">
        <v>77</v>
      </c>
    </row>
    <row r="22" customFormat="false" ht="15" hidden="false" customHeight="false" outlineLevel="0" collapsed="false">
      <c r="A22" s="4" t="s">
        <v>530</v>
      </c>
      <c r="B22" s="5" t="s">
        <v>101</v>
      </c>
      <c r="C22" s="5" t="s">
        <v>531</v>
      </c>
      <c r="D22" s="13" t="s">
        <v>532</v>
      </c>
      <c r="E22" s="5" t="s">
        <v>533</v>
      </c>
      <c r="F22" s="13" t="s">
        <v>531</v>
      </c>
      <c r="G22" s="13" t="s">
        <v>484</v>
      </c>
      <c r="H22" s="5" t="s">
        <v>534</v>
      </c>
      <c r="I22" s="5" t="s">
        <v>535</v>
      </c>
      <c r="J22" s="7" t="s">
        <v>20</v>
      </c>
      <c r="K22" s="5" t="s">
        <v>77</v>
      </c>
    </row>
    <row r="23" customFormat="false" ht="15" hidden="false" customHeight="false" outlineLevel="0" collapsed="false">
      <c r="A23" s="4" t="s">
        <v>536</v>
      </c>
      <c r="B23" s="5" t="s">
        <v>101</v>
      </c>
      <c r="C23" s="5" t="s">
        <v>537</v>
      </c>
      <c r="D23" s="13" t="s">
        <v>458</v>
      </c>
      <c r="E23" s="5" t="s">
        <v>538</v>
      </c>
      <c r="F23" s="13" t="s">
        <v>539</v>
      </c>
      <c r="G23" s="13" t="s">
        <v>439</v>
      </c>
      <c r="H23" s="5" t="s">
        <v>540</v>
      </c>
      <c r="I23" s="5" t="s">
        <v>541</v>
      </c>
      <c r="J23" s="7" t="s">
        <v>20</v>
      </c>
      <c r="K23" s="5" t="s">
        <v>77</v>
      </c>
    </row>
    <row r="24" customFormat="false" ht="22.35" hidden="false" customHeight="false" outlineLevel="0" collapsed="false">
      <c r="A24" s="4" t="s">
        <v>542</v>
      </c>
      <c r="B24" s="5" t="s">
        <v>90</v>
      </c>
      <c r="C24" s="5" t="s">
        <v>451</v>
      </c>
      <c r="D24" s="13" t="s">
        <v>444</v>
      </c>
      <c r="E24" s="5" t="s">
        <v>543</v>
      </c>
      <c r="F24" s="13" t="s">
        <v>453</v>
      </c>
      <c r="G24" s="13" t="s">
        <v>439</v>
      </c>
      <c r="H24" s="5" t="s">
        <v>544</v>
      </c>
      <c r="I24" s="5" t="s">
        <v>545</v>
      </c>
      <c r="J24" s="10" t="s">
        <v>546</v>
      </c>
      <c r="K24" s="5" t="s">
        <v>258</v>
      </c>
    </row>
    <row r="25" customFormat="false" ht="15" hidden="false" customHeight="false" outlineLevel="0" collapsed="false">
      <c r="A25" s="4" t="s">
        <v>547</v>
      </c>
      <c r="B25" s="5" t="s">
        <v>548</v>
      </c>
      <c r="C25" s="5" t="s">
        <v>549</v>
      </c>
      <c r="D25" s="13" t="s">
        <v>444</v>
      </c>
      <c r="E25" s="5" t="s">
        <v>550</v>
      </c>
      <c r="F25" s="13" t="s">
        <v>453</v>
      </c>
      <c r="G25" s="13" t="s">
        <v>484</v>
      </c>
      <c r="H25" s="5" t="s">
        <v>551</v>
      </c>
      <c r="I25" s="5" t="s">
        <v>328</v>
      </c>
      <c r="J25" s="10" t="s">
        <v>257</v>
      </c>
      <c r="K25" s="5" t="s">
        <v>258</v>
      </c>
    </row>
    <row r="26" customFormat="false" ht="15" hidden="false" customHeight="false" outlineLevel="0" collapsed="false">
      <c r="A26" s="4" t="s">
        <v>552</v>
      </c>
      <c r="B26" s="5" t="s">
        <v>553</v>
      </c>
      <c r="C26" s="5" t="s">
        <v>554</v>
      </c>
      <c r="D26" s="13" t="s">
        <v>444</v>
      </c>
      <c r="E26" s="5" t="s">
        <v>555</v>
      </c>
      <c r="F26" s="13" t="s">
        <v>453</v>
      </c>
      <c r="G26" s="13" t="s">
        <v>439</v>
      </c>
      <c r="H26" s="5" t="s">
        <v>556</v>
      </c>
      <c r="I26" s="5" t="s">
        <v>557</v>
      </c>
      <c r="J26" s="10" t="s">
        <v>257</v>
      </c>
      <c r="K26" s="5" t="s">
        <v>258</v>
      </c>
    </row>
    <row r="27" customFormat="false" ht="15" hidden="false" customHeight="false" outlineLevel="0" collapsed="false">
      <c r="A27" s="4" t="s">
        <v>558</v>
      </c>
      <c r="B27" s="5" t="s">
        <v>553</v>
      </c>
      <c r="C27" s="5" t="s">
        <v>559</v>
      </c>
      <c r="D27" s="13" t="s">
        <v>532</v>
      </c>
      <c r="E27" s="5" t="s">
        <v>560</v>
      </c>
      <c r="F27" s="13" t="s">
        <v>164</v>
      </c>
      <c r="G27" s="13" t="s">
        <v>446</v>
      </c>
      <c r="H27" s="5" t="s">
        <v>561</v>
      </c>
      <c r="I27" s="5" t="s">
        <v>562</v>
      </c>
      <c r="J27" s="7" t="s">
        <v>20</v>
      </c>
      <c r="K27" s="5" t="s">
        <v>77</v>
      </c>
    </row>
    <row r="28" customFormat="false" ht="15" hidden="false" customHeight="false" outlineLevel="0" collapsed="false">
      <c r="A28" s="4" t="s">
        <v>563</v>
      </c>
      <c r="B28" s="5" t="s">
        <v>80</v>
      </c>
      <c r="C28" s="5" t="s">
        <v>457</v>
      </c>
      <c r="D28" s="13" t="s">
        <v>458</v>
      </c>
      <c r="E28" s="5" t="s">
        <v>564</v>
      </c>
      <c r="F28" s="13" t="s">
        <v>164</v>
      </c>
      <c r="G28" s="13" t="s">
        <v>439</v>
      </c>
      <c r="H28" s="5" t="s">
        <v>565</v>
      </c>
      <c r="I28" s="5" t="s">
        <v>566</v>
      </c>
      <c r="J28" s="7" t="s">
        <v>20</v>
      </c>
      <c r="K28" s="5" t="s">
        <v>567</v>
      </c>
    </row>
    <row r="29" customFormat="false" ht="23.85" hidden="false" customHeight="false" outlineLevel="0" collapsed="false">
      <c r="A29" s="4" t="s">
        <v>568</v>
      </c>
      <c r="B29" s="5" t="s">
        <v>434</v>
      </c>
      <c r="C29" s="5" t="s">
        <v>569</v>
      </c>
      <c r="D29" s="13" t="s">
        <v>477</v>
      </c>
      <c r="E29" s="5" t="s">
        <v>570</v>
      </c>
      <c r="F29" s="13" t="s">
        <v>164</v>
      </c>
      <c r="G29" s="13" t="s">
        <v>16</v>
      </c>
      <c r="H29" s="5" t="s">
        <v>571</v>
      </c>
      <c r="I29" s="5" t="s">
        <v>277</v>
      </c>
      <c r="J29" s="7" t="s">
        <v>20</v>
      </c>
      <c r="K29" s="5" t="s">
        <v>77</v>
      </c>
    </row>
    <row r="30" customFormat="false" ht="15" hidden="false" customHeight="false" outlineLevel="0" collapsed="false">
      <c r="A30" s="4" t="s">
        <v>572</v>
      </c>
      <c r="B30" s="5" t="s">
        <v>434</v>
      </c>
      <c r="C30" s="5" t="s">
        <v>573</v>
      </c>
      <c r="D30" s="13" t="s">
        <v>465</v>
      </c>
      <c r="E30" s="5" t="s">
        <v>574</v>
      </c>
      <c r="F30" s="13" t="s">
        <v>164</v>
      </c>
      <c r="G30" s="13" t="s">
        <v>446</v>
      </c>
      <c r="H30" s="5" t="s">
        <v>575</v>
      </c>
      <c r="I30" s="5" t="s">
        <v>576</v>
      </c>
      <c r="J30" s="7" t="s">
        <v>20</v>
      </c>
      <c r="K30" s="5" t="s">
        <v>77</v>
      </c>
    </row>
    <row r="31" customFormat="false" ht="15" hidden="false" customHeight="false" outlineLevel="0" collapsed="false">
      <c r="A31" s="4" t="s">
        <v>577</v>
      </c>
      <c r="B31" s="5" t="s">
        <v>96</v>
      </c>
      <c r="C31" s="5" t="s">
        <v>578</v>
      </c>
      <c r="D31" s="13" t="s">
        <v>513</v>
      </c>
      <c r="E31" s="5" t="s">
        <v>579</v>
      </c>
      <c r="F31" s="13" t="s">
        <v>164</v>
      </c>
      <c r="G31" s="13" t="s">
        <v>484</v>
      </c>
      <c r="H31" s="5"/>
      <c r="I31" s="5" t="s">
        <v>580</v>
      </c>
      <c r="J31" s="7" t="s">
        <v>20</v>
      </c>
      <c r="K31" s="5" t="s">
        <v>77</v>
      </c>
    </row>
    <row r="32" customFormat="false" ht="15" hidden="false" customHeight="false" outlineLevel="0" collapsed="false">
      <c r="A32" s="4" t="s">
        <v>581</v>
      </c>
      <c r="B32" s="5" t="s">
        <v>434</v>
      </c>
      <c r="C32" s="5" t="s">
        <v>582</v>
      </c>
      <c r="D32" s="13" t="s">
        <v>444</v>
      </c>
      <c r="E32" s="5" t="s">
        <v>583</v>
      </c>
      <c r="F32" s="13" t="s">
        <v>453</v>
      </c>
      <c r="G32" s="13" t="s">
        <v>439</v>
      </c>
      <c r="H32" s="5" t="s">
        <v>584</v>
      </c>
      <c r="I32" s="5" t="s">
        <v>585</v>
      </c>
      <c r="J32" s="10" t="s">
        <v>257</v>
      </c>
      <c r="K32" s="5" t="s">
        <v>258</v>
      </c>
    </row>
    <row r="33" customFormat="false" ht="15" hidden="false" customHeight="false" outlineLevel="0" collapsed="false">
      <c r="A33" s="4" t="s">
        <v>586</v>
      </c>
      <c r="B33" s="5" t="s">
        <v>434</v>
      </c>
      <c r="C33" s="5" t="s">
        <v>587</v>
      </c>
      <c r="D33" s="13" t="s">
        <v>436</v>
      </c>
      <c r="E33" s="5" t="s">
        <v>285</v>
      </c>
      <c r="F33" s="13" t="s">
        <v>588</v>
      </c>
      <c r="G33" s="13" t="s">
        <v>439</v>
      </c>
      <c r="H33" s="5" t="s">
        <v>589</v>
      </c>
      <c r="I33" s="5" t="s">
        <v>590</v>
      </c>
      <c r="J33" s="7" t="s">
        <v>20</v>
      </c>
      <c r="K33" s="5" t="s">
        <v>77</v>
      </c>
    </row>
    <row r="34" customFormat="false" ht="15" hidden="false" customHeight="false" outlineLevel="0" collapsed="false">
      <c r="A34" s="4" t="s">
        <v>591</v>
      </c>
      <c r="B34" s="5" t="s">
        <v>434</v>
      </c>
      <c r="C34" s="5" t="s">
        <v>592</v>
      </c>
      <c r="D34" s="13" t="s">
        <v>465</v>
      </c>
      <c r="E34" s="5" t="s">
        <v>593</v>
      </c>
      <c r="F34" s="13" t="s">
        <v>594</v>
      </c>
      <c r="G34" s="13" t="s">
        <v>484</v>
      </c>
      <c r="H34" s="5" t="s">
        <v>595</v>
      </c>
      <c r="I34" s="5" t="s">
        <v>596</v>
      </c>
      <c r="J34" s="7" t="s">
        <v>20</v>
      </c>
      <c r="K34" s="5" t="s">
        <v>463</v>
      </c>
    </row>
    <row r="35" customFormat="false" ht="23.85" hidden="false" customHeight="false" outlineLevel="0" collapsed="false">
      <c r="A35" s="4" t="s">
        <v>597</v>
      </c>
      <c r="B35" s="5" t="s">
        <v>107</v>
      </c>
      <c r="C35" s="5" t="s">
        <v>598</v>
      </c>
      <c r="D35" s="13" t="s">
        <v>458</v>
      </c>
      <c r="E35" s="5" t="s">
        <v>599</v>
      </c>
      <c r="F35" s="13" t="s">
        <v>164</v>
      </c>
      <c r="G35" s="13" t="s">
        <v>484</v>
      </c>
      <c r="H35" s="5" t="s">
        <v>600</v>
      </c>
      <c r="I35" s="5" t="s">
        <v>601</v>
      </c>
      <c r="J35" s="7" t="s">
        <v>20</v>
      </c>
      <c r="K35" s="5" t="s">
        <v>602</v>
      </c>
    </row>
    <row r="36" customFormat="false" ht="23.85" hidden="false" customHeight="false" outlineLevel="0" collapsed="false">
      <c r="A36" s="4" t="s">
        <v>603</v>
      </c>
      <c r="B36" s="5" t="s">
        <v>107</v>
      </c>
      <c r="C36" s="5" t="s">
        <v>604</v>
      </c>
      <c r="D36" s="13" t="s">
        <v>458</v>
      </c>
      <c r="E36" s="5" t="s">
        <v>605</v>
      </c>
      <c r="F36" s="13" t="s">
        <v>164</v>
      </c>
      <c r="G36" s="13" t="s">
        <v>484</v>
      </c>
      <c r="H36" s="5" t="s">
        <v>606</v>
      </c>
      <c r="I36" s="5" t="s">
        <v>607</v>
      </c>
      <c r="J36" s="7" t="s">
        <v>20</v>
      </c>
      <c r="K36" s="5" t="s">
        <v>608</v>
      </c>
    </row>
    <row r="37" customFormat="false" ht="15" hidden="false" customHeight="false" outlineLevel="0" collapsed="false">
      <c r="A37" s="4" t="s">
        <v>609</v>
      </c>
      <c r="B37" s="5" t="s">
        <v>107</v>
      </c>
      <c r="C37" s="5" t="s">
        <v>610</v>
      </c>
      <c r="D37" s="13" t="s">
        <v>458</v>
      </c>
      <c r="E37" s="5" t="s">
        <v>611</v>
      </c>
      <c r="F37" s="13" t="s">
        <v>164</v>
      </c>
      <c r="G37" s="13" t="s">
        <v>484</v>
      </c>
      <c r="H37" s="5" t="s">
        <v>612</v>
      </c>
      <c r="I37" s="5" t="s">
        <v>319</v>
      </c>
      <c r="J37" s="7" t="s">
        <v>20</v>
      </c>
      <c r="K37" s="5" t="s">
        <v>105</v>
      </c>
    </row>
    <row r="38" customFormat="false" ht="15" hidden="false" customHeight="false" outlineLevel="0" collapsed="false">
      <c r="A38" s="4" t="s">
        <v>613</v>
      </c>
      <c r="B38" s="5" t="s">
        <v>114</v>
      </c>
      <c r="C38" s="5" t="s">
        <v>614</v>
      </c>
      <c r="D38" s="13" t="s">
        <v>477</v>
      </c>
      <c r="E38" s="5" t="s">
        <v>615</v>
      </c>
      <c r="F38" s="13" t="s">
        <v>164</v>
      </c>
      <c r="G38" s="13" t="s">
        <v>439</v>
      </c>
      <c r="H38" s="5"/>
      <c r="I38" s="5" t="s">
        <v>331</v>
      </c>
      <c r="J38" s="7" t="s">
        <v>20</v>
      </c>
      <c r="K38" s="5" t="s">
        <v>332</v>
      </c>
    </row>
    <row r="39" customFormat="false" ht="15" hidden="false" customHeight="false" outlineLevel="0" collapsed="false">
      <c r="A39" s="4" t="s">
        <v>616</v>
      </c>
      <c r="B39" s="5" t="s">
        <v>114</v>
      </c>
      <c r="C39" s="5" t="s">
        <v>617</v>
      </c>
      <c r="D39" s="13" t="s">
        <v>477</v>
      </c>
      <c r="E39" s="5" t="s">
        <v>618</v>
      </c>
      <c r="F39" s="13" t="s">
        <v>164</v>
      </c>
      <c r="G39" s="13" t="s">
        <v>439</v>
      </c>
      <c r="H39" s="5" t="s">
        <v>619</v>
      </c>
      <c r="I39" s="5" t="s">
        <v>331</v>
      </c>
      <c r="J39" s="7" t="s">
        <v>20</v>
      </c>
      <c r="K39" s="5" t="s">
        <v>332</v>
      </c>
    </row>
    <row r="40" customFormat="false" ht="23.85" hidden="false" customHeight="false" outlineLevel="0" collapsed="false">
      <c r="A40" s="4" t="s">
        <v>620</v>
      </c>
      <c r="B40" s="5" t="s">
        <v>114</v>
      </c>
      <c r="C40" s="5" t="s">
        <v>621</v>
      </c>
      <c r="D40" s="13" t="s">
        <v>477</v>
      </c>
      <c r="E40" s="5" t="s">
        <v>622</v>
      </c>
      <c r="F40" s="13" t="s">
        <v>164</v>
      </c>
      <c r="G40" s="13" t="s">
        <v>439</v>
      </c>
      <c r="H40" s="5" t="s">
        <v>623</v>
      </c>
      <c r="I40" s="5" t="s">
        <v>331</v>
      </c>
      <c r="J40" s="7" t="s">
        <v>20</v>
      </c>
      <c r="K40" s="5" t="s">
        <v>332</v>
      </c>
    </row>
    <row r="41" customFormat="false" ht="15" hidden="false" customHeight="false" outlineLevel="0" collapsed="false">
      <c r="A41" s="4" t="s">
        <v>624</v>
      </c>
      <c r="B41" s="5" t="s">
        <v>114</v>
      </c>
      <c r="C41" s="5" t="s">
        <v>625</v>
      </c>
      <c r="D41" s="13" t="s">
        <v>532</v>
      </c>
      <c r="E41" s="5" t="s">
        <v>626</v>
      </c>
      <c r="F41" s="13" t="s">
        <v>164</v>
      </c>
      <c r="G41" s="13" t="s">
        <v>446</v>
      </c>
      <c r="H41" s="5" t="s">
        <v>627</v>
      </c>
      <c r="I41" s="5" t="s">
        <v>331</v>
      </c>
      <c r="J41" s="7" t="s">
        <v>20</v>
      </c>
      <c r="K41" s="5" t="s">
        <v>332</v>
      </c>
    </row>
    <row r="42" customFormat="false" ht="15" hidden="false" customHeight="false" outlineLevel="0" collapsed="false">
      <c r="A42" s="4" t="s">
        <v>628</v>
      </c>
      <c r="B42" s="5" t="s">
        <v>114</v>
      </c>
      <c r="C42" s="5" t="s">
        <v>629</v>
      </c>
      <c r="D42" s="13" t="s">
        <v>513</v>
      </c>
      <c r="E42" s="5" t="s">
        <v>630</v>
      </c>
      <c r="F42" s="13" t="s">
        <v>164</v>
      </c>
      <c r="G42" s="13" t="s">
        <v>484</v>
      </c>
      <c r="H42" s="5" t="s">
        <v>631</v>
      </c>
      <c r="I42" s="5" t="s">
        <v>331</v>
      </c>
      <c r="J42" s="7" t="s">
        <v>20</v>
      </c>
      <c r="K42" s="5" t="s">
        <v>332</v>
      </c>
    </row>
    <row r="43" customFormat="false" ht="15" hidden="false" customHeight="false" outlineLevel="0" collapsed="false">
      <c r="A43" s="4" t="s">
        <v>632</v>
      </c>
      <c r="B43" s="5" t="s">
        <v>123</v>
      </c>
      <c r="C43" s="5" t="s">
        <v>633</v>
      </c>
      <c r="D43" s="13" t="s">
        <v>477</v>
      </c>
      <c r="E43" s="5" t="s">
        <v>634</v>
      </c>
      <c r="F43" s="13" t="s">
        <v>164</v>
      </c>
      <c r="G43" s="13" t="s">
        <v>439</v>
      </c>
      <c r="H43" s="5"/>
      <c r="I43" s="5" t="s">
        <v>635</v>
      </c>
      <c r="J43" s="7" t="s">
        <v>20</v>
      </c>
      <c r="K43" s="5" t="s">
        <v>345</v>
      </c>
    </row>
    <row r="44" customFormat="false" ht="15" hidden="false" customHeight="false" outlineLevel="0" collapsed="false">
      <c r="A44" s="4" t="s">
        <v>636</v>
      </c>
      <c r="B44" s="5" t="s">
        <v>123</v>
      </c>
      <c r="C44" s="5" t="s">
        <v>637</v>
      </c>
      <c r="D44" s="13" t="s">
        <v>477</v>
      </c>
      <c r="E44" s="5" t="s">
        <v>638</v>
      </c>
      <c r="F44" s="13" t="s">
        <v>164</v>
      </c>
      <c r="G44" s="13" t="s">
        <v>439</v>
      </c>
      <c r="H44" s="5" t="s">
        <v>639</v>
      </c>
      <c r="I44" s="5" t="s">
        <v>640</v>
      </c>
      <c r="J44" s="7" t="s">
        <v>20</v>
      </c>
      <c r="K44" s="5" t="s">
        <v>345</v>
      </c>
    </row>
    <row r="45" customFormat="false" ht="15" hidden="false" customHeight="false" outlineLevel="0" collapsed="false">
      <c r="A45" s="4" t="s">
        <v>641</v>
      </c>
      <c r="B45" s="5" t="s">
        <v>123</v>
      </c>
      <c r="C45" s="5" t="s">
        <v>642</v>
      </c>
      <c r="D45" s="13" t="s">
        <v>477</v>
      </c>
      <c r="E45" s="5" t="s">
        <v>643</v>
      </c>
      <c r="F45" s="13" t="s">
        <v>164</v>
      </c>
      <c r="G45" s="13" t="s">
        <v>439</v>
      </c>
      <c r="H45" s="5"/>
      <c r="I45" s="5" t="s">
        <v>644</v>
      </c>
      <c r="J45" s="7" t="s">
        <v>20</v>
      </c>
      <c r="K45" s="5" t="s">
        <v>345</v>
      </c>
    </row>
    <row r="46" customFormat="false" ht="15" hidden="false" customHeight="false" outlineLevel="0" collapsed="false">
      <c r="A46" s="4" t="s">
        <v>645</v>
      </c>
      <c r="B46" s="5" t="s">
        <v>123</v>
      </c>
      <c r="C46" s="5" t="s">
        <v>646</v>
      </c>
      <c r="D46" s="13" t="s">
        <v>477</v>
      </c>
      <c r="E46" s="5" t="s">
        <v>647</v>
      </c>
      <c r="F46" s="13" t="s">
        <v>164</v>
      </c>
      <c r="G46" s="13" t="s">
        <v>439</v>
      </c>
      <c r="H46" s="5"/>
      <c r="I46" s="5" t="s">
        <v>648</v>
      </c>
      <c r="J46" s="7" t="s">
        <v>20</v>
      </c>
      <c r="K46" s="5" t="s">
        <v>345</v>
      </c>
    </row>
    <row r="47" customFormat="false" ht="15" hidden="false" customHeight="false" outlineLevel="0" collapsed="false">
      <c r="A47" s="4" t="s">
        <v>649</v>
      </c>
      <c r="B47" s="5" t="s">
        <v>123</v>
      </c>
      <c r="C47" s="5" t="s">
        <v>650</v>
      </c>
      <c r="D47" s="13" t="s">
        <v>444</v>
      </c>
      <c r="E47" s="5" t="s">
        <v>651</v>
      </c>
      <c r="F47" s="13" t="s">
        <v>453</v>
      </c>
      <c r="G47" s="13" t="s">
        <v>439</v>
      </c>
      <c r="H47" s="5" t="s">
        <v>652</v>
      </c>
      <c r="I47" s="5" t="s">
        <v>653</v>
      </c>
      <c r="J47" s="8" t="s">
        <v>22</v>
      </c>
      <c r="K47" s="5" t="s">
        <v>654</v>
      </c>
    </row>
    <row r="48" customFormat="false" ht="15" hidden="false" customHeight="false" outlineLevel="0" collapsed="false">
      <c r="A48" s="4" t="s">
        <v>655</v>
      </c>
      <c r="B48" s="5" t="s">
        <v>123</v>
      </c>
      <c r="C48" s="5" t="s">
        <v>656</v>
      </c>
      <c r="D48" s="13" t="s">
        <v>436</v>
      </c>
      <c r="E48" s="5" t="s">
        <v>657</v>
      </c>
      <c r="F48" s="13" t="s">
        <v>658</v>
      </c>
      <c r="G48" s="13" t="s">
        <v>439</v>
      </c>
      <c r="H48" s="5"/>
      <c r="I48" s="5" t="s">
        <v>653</v>
      </c>
      <c r="J48" s="8" t="s">
        <v>22</v>
      </c>
      <c r="K48" s="5" t="s">
        <v>654</v>
      </c>
    </row>
    <row r="49" customFormat="false" ht="15" hidden="false" customHeight="false" outlineLevel="0" collapsed="false">
      <c r="A49" s="4" t="s">
        <v>659</v>
      </c>
      <c r="B49" s="5" t="s">
        <v>123</v>
      </c>
      <c r="C49" s="5" t="s">
        <v>660</v>
      </c>
      <c r="D49" s="13" t="s">
        <v>436</v>
      </c>
      <c r="E49" s="5" t="s">
        <v>661</v>
      </c>
      <c r="F49" s="13" t="s">
        <v>453</v>
      </c>
      <c r="G49" s="13" t="s">
        <v>439</v>
      </c>
      <c r="H49" s="5" t="s">
        <v>662</v>
      </c>
      <c r="I49" s="5" t="s">
        <v>653</v>
      </c>
      <c r="J49" s="8" t="s">
        <v>22</v>
      </c>
      <c r="K49" s="5" t="s">
        <v>654</v>
      </c>
    </row>
    <row r="50" customFormat="false" ht="23.85" hidden="false" customHeight="false" outlineLevel="0" collapsed="false">
      <c r="A50" s="4" t="s">
        <v>663</v>
      </c>
      <c r="B50" s="5" t="s">
        <v>123</v>
      </c>
      <c r="C50" s="5" t="s">
        <v>664</v>
      </c>
      <c r="D50" s="13" t="s">
        <v>465</v>
      </c>
      <c r="E50" s="5" t="s">
        <v>665</v>
      </c>
      <c r="F50" s="13" t="s">
        <v>164</v>
      </c>
      <c r="G50" s="13" t="s">
        <v>446</v>
      </c>
      <c r="H50" s="5"/>
      <c r="I50" s="5" t="s">
        <v>666</v>
      </c>
      <c r="J50" s="7" t="s">
        <v>20</v>
      </c>
      <c r="K50" s="5" t="s">
        <v>345</v>
      </c>
    </row>
    <row r="51" customFormat="false" ht="15" hidden="false" customHeight="false" outlineLevel="0" collapsed="false">
      <c r="A51" s="4" t="s">
        <v>667</v>
      </c>
      <c r="B51" s="5" t="s">
        <v>123</v>
      </c>
      <c r="C51" s="5" t="s">
        <v>668</v>
      </c>
      <c r="D51" s="13" t="s">
        <v>436</v>
      </c>
      <c r="E51" s="5" t="s">
        <v>669</v>
      </c>
      <c r="F51" s="13" t="s">
        <v>670</v>
      </c>
      <c r="G51" s="13" t="s">
        <v>439</v>
      </c>
      <c r="H51" s="5"/>
      <c r="I51" s="5" t="s">
        <v>671</v>
      </c>
      <c r="J51" s="7" t="s">
        <v>20</v>
      </c>
      <c r="K51" s="5" t="s">
        <v>345</v>
      </c>
    </row>
    <row r="52" customFormat="false" ht="15" hidden="false" customHeight="false" outlineLevel="0" collapsed="false">
      <c r="A52" s="4" t="s">
        <v>672</v>
      </c>
      <c r="B52" s="5" t="s">
        <v>123</v>
      </c>
      <c r="C52" s="5" t="s">
        <v>673</v>
      </c>
      <c r="D52" s="13" t="s">
        <v>465</v>
      </c>
      <c r="E52" s="5" t="s">
        <v>674</v>
      </c>
      <c r="F52" s="13" t="s">
        <v>164</v>
      </c>
      <c r="G52" s="13" t="s">
        <v>446</v>
      </c>
      <c r="H52" s="5"/>
      <c r="I52" s="5" t="s">
        <v>675</v>
      </c>
      <c r="J52" s="7" t="s">
        <v>20</v>
      </c>
      <c r="K52" s="5" t="s">
        <v>676</v>
      </c>
    </row>
    <row r="53" customFormat="false" ht="15" hidden="false" customHeight="false" outlineLevel="0" collapsed="false">
      <c r="A53" s="4" t="s">
        <v>677</v>
      </c>
      <c r="B53" s="5" t="s">
        <v>123</v>
      </c>
      <c r="C53" s="5" t="s">
        <v>678</v>
      </c>
      <c r="D53" s="13" t="s">
        <v>444</v>
      </c>
      <c r="E53" s="5" t="s">
        <v>679</v>
      </c>
      <c r="F53" s="13" t="s">
        <v>680</v>
      </c>
      <c r="G53" s="13" t="s">
        <v>439</v>
      </c>
      <c r="H53" s="5" t="s">
        <v>681</v>
      </c>
      <c r="I53" s="5" t="s">
        <v>682</v>
      </c>
      <c r="J53" s="7" t="s">
        <v>20</v>
      </c>
      <c r="K53" s="5" t="s">
        <v>345</v>
      </c>
    </row>
    <row r="54" customFormat="false" ht="23.85" hidden="false" customHeight="false" outlineLevel="0" collapsed="false">
      <c r="A54" s="4" t="s">
        <v>683</v>
      </c>
      <c r="B54" s="5" t="s">
        <v>133</v>
      </c>
      <c r="C54" s="5" t="s">
        <v>684</v>
      </c>
      <c r="D54" s="13" t="s">
        <v>477</v>
      </c>
      <c r="E54" s="5" t="s">
        <v>685</v>
      </c>
      <c r="F54" s="13" t="s">
        <v>164</v>
      </c>
      <c r="G54" s="13" t="s">
        <v>439</v>
      </c>
      <c r="H54" s="5"/>
      <c r="I54" s="5" t="s">
        <v>686</v>
      </c>
      <c r="J54" s="7" t="s">
        <v>20</v>
      </c>
      <c r="K54" s="5" t="s">
        <v>687</v>
      </c>
    </row>
    <row r="55" customFormat="false" ht="15" hidden="false" customHeight="false" outlineLevel="0" collapsed="false">
      <c r="A55" s="4" t="s">
        <v>688</v>
      </c>
      <c r="B55" s="5" t="s">
        <v>133</v>
      </c>
      <c r="C55" s="5" t="s">
        <v>689</v>
      </c>
      <c r="D55" s="13" t="s">
        <v>444</v>
      </c>
      <c r="E55" s="5" t="s">
        <v>690</v>
      </c>
      <c r="F55" s="13" t="s">
        <v>453</v>
      </c>
      <c r="G55" s="13" t="s">
        <v>439</v>
      </c>
      <c r="H55" s="5" t="s">
        <v>691</v>
      </c>
      <c r="I55" s="5" t="s">
        <v>692</v>
      </c>
      <c r="J55" s="8" t="s">
        <v>22</v>
      </c>
      <c r="K55" s="5" t="s">
        <v>693</v>
      </c>
    </row>
    <row r="56" customFormat="false" ht="15" hidden="false" customHeight="false" outlineLevel="0" collapsed="false">
      <c r="A56" s="4" t="s">
        <v>694</v>
      </c>
      <c r="B56" s="5" t="s">
        <v>133</v>
      </c>
      <c r="C56" s="5" t="s">
        <v>695</v>
      </c>
      <c r="D56" s="13" t="s">
        <v>444</v>
      </c>
      <c r="E56" s="5" t="s">
        <v>696</v>
      </c>
      <c r="F56" s="13" t="s">
        <v>658</v>
      </c>
      <c r="G56" s="13" t="s">
        <v>439</v>
      </c>
      <c r="H56" s="5"/>
      <c r="I56" s="5" t="s">
        <v>692</v>
      </c>
      <c r="J56" s="8" t="s">
        <v>22</v>
      </c>
      <c r="K56" s="5" t="s">
        <v>693</v>
      </c>
    </row>
    <row r="57" customFormat="false" ht="23.85" hidden="false" customHeight="false" outlineLevel="0" collapsed="false">
      <c r="A57" s="4" t="s">
        <v>697</v>
      </c>
      <c r="B57" s="5" t="s">
        <v>133</v>
      </c>
      <c r="C57" s="5" t="s">
        <v>664</v>
      </c>
      <c r="D57" s="13" t="s">
        <v>465</v>
      </c>
      <c r="E57" s="5" t="s">
        <v>698</v>
      </c>
      <c r="F57" s="13" t="s">
        <v>164</v>
      </c>
      <c r="G57" s="13" t="s">
        <v>446</v>
      </c>
      <c r="H57" s="5"/>
      <c r="I57" s="5" t="s">
        <v>699</v>
      </c>
      <c r="J57" s="7" t="s">
        <v>20</v>
      </c>
      <c r="K57" s="5" t="s">
        <v>353</v>
      </c>
    </row>
    <row r="58" customFormat="false" ht="15" hidden="false" customHeight="false" outlineLevel="0" collapsed="false">
      <c r="A58" s="4" t="s">
        <v>700</v>
      </c>
      <c r="B58" s="5" t="s">
        <v>133</v>
      </c>
      <c r="C58" s="5" t="s">
        <v>701</v>
      </c>
      <c r="D58" s="13" t="s">
        <v>477</v>
      </c>
      <c r="E58" s="5" t="s">
        <v>702</v>
      </c>
      <c r="F58" s="13" t="s">
        <v>164</v>
      </c>
      <c r="G58" s="13" t="s">
        <v>439</v>
      </c>
      <c r="H58" s="5"/>
      <c r="I58" s="5" t="s">
        <v>703</v>
      </c>
      <c r="J58" s="7" t="s">
        <v>20</v>
      </c>
      <c r="K58" s="5" t="s">
        <v>353</v>
      </c>
    </row>
    <row r="59" customFormat="false" ht="15" hidden="false" customHeight="false" outlineLevel="0" collapsed="false">
      <c r="A59" s="4" t="s">
        <v>704</v>
      </c>
      <c r="B59" s="5" t="s">
        <v>140</v>
      </c>
      <c r="C59" s="5" t="s">
        <v>614</v>
      </c>
      <c r="D59" s="13" t="s">
        <v>458</v>
      </c>
      <c r="E59" s="5" t="s">
        <v>146</v>
      </c>
      <c r="F59" s="13" t="s">
        <v>164</v>
      </c>
      <c r="G59" s="13" t="s">
        <v>439</v>
      </c>
      <c r="H59" s="5" t="s">
        <v>705</v>
      </c>
      <c r="I59" s="5" t="s">
        <v>706</v>
      </c>
      <c r="J59" s="8" t="s">
        <v>22</v>
      </c>
      <c r="K59" s="5" t="s">
        <v>707</v>
      </c>
    </row>
    <row r="60" customFormat="false" ht="15" hidden="false" customHeight="false" outlineLevel="0" collapsed="false">
      <c r="A60" s="4" t="s">
        <v>708</v>
      </c>
      <c r="B60" s="5" t="s">
        <v>140</v>
      </c>
      <c r="C60" s="5" t="s">
        <v>709</v>
      </c>
      <c r="D60" s="13" t="s">
        <v>477</v>
      </c>
      <c r="E60" s="5" t="s">
        <v>710</v>
      </c>
      <c r="F60" s="13" t="s">
        <v>164</v>
      </c>
      <c r="G60" s="13" t="s">
        <v>439</v>
      </c>
      <c r="H60" s="5"/>
      <c r="I60" s="5" t="s">
        <v>711</v>
      </c>
      <c r="J60" s="7" t="s">
        <v>20</v>
      </c>
      <c r="K60" s="5" t="s">
        <v>712</v>
      </c>
    </row>
    <row r="61" customFormat="false" ht="15" hidden="false" customHeight="false" outlineLevel="0" collapsed="false">
      <c r="A61" s="4" t="s">
        <v>713</v>
      </c>
      <c r="B61" s="5" t="s">
        <v>140</v>
      </c>
      <c r="C61" s="5" t="s">
        <v>435</v>
      </c>
      <c r="D61" s="13" t="s">
        <v>458</v>
      </c>
      <c r="E61" s="5" t="s">
        <v>714</v>
      </c>
      <c r="F61" s="13" t="s">
        <v>438</v>
      </c>
      <c r="G61" s="13" t="s">
        <v>439</v>
      </c>
      <c r="H61" s="5"/>
      <c r="I61" s="5" t="s">
        <v>706</v>
      </c>
      <c r="J61" s="8" t="s">
        <v>22</v>
      </c>
      <c r="K61" s="5" t="s">
        <v>707</v>
      </c>
    </row>
    <row r="62" customFormat="false" ht="15" hidden="false" customHeight="false" outlineLevel="0" collapsed="false">
      <c r="A62" s="4" t="s">
        <v>715</v>
      </c>
      <c r="B62" s="5" t="s">
        <v>140</v>
      </c>
      <c r="C62" s="5" t="s">
        <v>716</v>
      </c>
      <c r="D62" s="13" t="s">
        <v>477</v>
      </c>
      <c r="E62" s="5" t="s">
        <v>717</v>
      </c>
      <c r="F62" s="13" t="s">
        <v>164</v>
      </c>
      <c r="G62" s="13" t="s">
        <v>439</v>
      </c>
      <c r="H62" s="5"/>
      <c r="I62" s="5" t="s">
        <v>718</v>
      </c>
      <c r="J62" s="7" t="s">
        <v>20</v>
      </c>
      <c r="K62" s="5" t="s">
        <v>712</v>
      </c>
    </row>
    <row r="63" customFormat="false" ht="15" hidden="false" customHeight="false" outlineLevel="0" collapsed="false">
      <c r="A63" s="4" t="s">
        <v>719</v>
      </c>
      <c r="B63" s="5" t="s">
        <v>140</v>
      </c>
      <c r="C63" s="5" t="s">
        <v>720</v>
      </c>
      <c r="D63" s="13" t="s">
        <v>436</v>
      </c>
      <c r="E63" s="5" t="s">
        <v>721</v>
      </c>
      <c r="F63" s="13" t="s">
        <v>722</v>
      </c>
      <c r="G63" s="13" t="s">
        <v>439</v>
      </c>
      <c r="H63" s="5" t="s">
        <v>723</v>
      </c>
      <c r="I63" s="5" t="s">
        <v>706</v>
      </c>
      <c r="J63" s="8" t="s">
        <v>22</v>
      </c>
      <c r="K63" s="5" t="s">
        <v>707</v>
      </c>
    </row>
    <row r="64" customFormat="false" ht="15" hidden="false" customHeight="false" outlineLevel="0" collapsed="false">
      <c r="A64" s="4" t="s">
        <v>724</v>
      </c>
      <c r="B64" s="5" t="s">
        <v>140</v>
      </c>
      <c r="C64" s="5" t="s">
        <v>725</v>
      </c>
      <c r="D64" s="13" t="s">
        <v>726</v>
      </c>
      <c r="E64" s="5" t="s">
        <v>370</v>
      </c>
      <c r="F64" s="13" t="s">
        <v>680</v>
      </c>
      <c r="G64" s="13" t="s">
        <v>439</v>
      </c>
      <c r="H64" s="5" t="s">
        <v>727</v>
      </c>
      <c r="I64" s="5" t="s">
        <v>706</v>
      </c>
      <c r="J64" s="8" t="s">
        <v>22</v>
      </c>
      <c r="K64" s="5" t="s">
        <v>707</v>
      </c>
    </row>
    <row r="65" customFormat="false" ht="15" hidden="false" customHeight="false" outlineLevel="0" collapsed="false">
      <c r="A65" s="4" t="s">
        <v>728</v>
      </c>
      <c r="B65" s="5" t="s">
        <v>150</v>
      </c>
      <c r="C65" s="5" t="s">
        <v>729</v>
      </c>
      <c r="D65" s="13" t="s">
        <v>477</v>
      </c>
      <c r="E65" s="5" t="s">
        <v>730</v>
      </c>
      <c r="F65" s="13" t="s">
        <v>164</v>
      </c>
      <c r="G65" s="13" t="s">
        <v>439</v>
      </c>
      <c r="H65" s="5"/>
      <c r="I65" s="5" t="s">
        <v>368</v>
      </c>
      <c r="J65" s="8" t="s">
        <v>22</v>
      </c>
      <c r="K65" s="5" t="s">
        <v>159</v>
      </c>
    </row>
    <row r="66" customFormat="false" ht="15" hidden="false" customHeight="false" outlineLevel="0" collapsed="false">
      <c r="A66" s="4" t="s">
        <v>731</v>
      </c>
      <c r="B66" s="5" t="s">
        <v>150</v>
      </c>
      <c r="C66" s="5" t="s">
        <v>614</v>
      </c>
      <c r="D66" s="13" t="s">
        <v>477</v>
      </c>
      <c r="E66" s="5" t="s">
        <v>732</v>
      </c>
      <c r="F66" s="13" t="s">
        <v>164</v>
      </c>
      <c r="G66" s="13" t="s">
        <v>439</v>
      </c>
      <c r="H66" s="5" t="s">
        <v>733</v>
      </c>
      <c r="I66" s="5" t="s">
        <v>368</v>
      </c>
      <c r="J66" s="8" t="s">
        <v>22</v>
      </c>
      <c r="K66" s="5" t="s">
        <v>159</v>
      </c>
    </row>
    <row r="67" customFormat="false" ht="15" hidden="false" customHeight="false" outlineLevel="0" collapsed="false">
      <c r="A67" s="4" t="s">
        <v>734</v>
      </c>
      <c r="B67" s="5" t="s">
        <v>150</v>
      </c>
      <c r="C67" s="5" t="s">
        <v>735</v>
      </c>
      <c r="D67" s="13" t="s">
        <v>477</v>
      </c>
      <c r="E67" s="5" t="s">
        <v>736</v>
      </c>
      <c r="F67" s="13" t="s">
        <v>164</v>
      </c>
      <c r="G67" s="13" t="s">
        <v>439</v>
      </c>
      <c r="H67" s="5"/>
      <c r="I67" s="5" t="s">
        <v>368</v>
      </c>
      <c r="J67" s="8" t="s">
        <v>22</v>
      </c>
      <c r="K67" s="5" t="s">
        <v>159</v>
      </c>
    </row>
    <row r="68" customFormat="false" ht="15" hidden="false" customHeight="false" outlineLevel="0" collapsed="false">
      <c r="A68" s="4" t="s">
        <v>737</v>
      </c>
      <c r="B68" s="5" t="s">
        <v>167</v>
      </c>
      <c r="C68" s="5" t="s">
        <v>738</v>
      </c>
      <c r="D68" s="13" t="s">
        <v>477</v>
      </c>
      <c r="E68" s="5" t="s">
        <v>739</v>
      </c>
      <c r="F68" s="13" t="s">
        <v>164</v>
      </c>
      <c r="G68" s="13" t="s">
        <v>439</v>
      </c>
      <c r="H68" s="5" t="s">
        <v>740</v>
      </c>
      <c r="I68" s="5" t="s">
        <v>374</v>
      </c>
      <c r="J68" s="8" t="s">
        <v>22</v>
      </c>
      <c r="K68" s="5" t="s">
        <v>177</v>
      </c>
    </row>
    <row r="69" customFormat="false" ht="15" hidden="false" customHeight="false" outlineLevel="0" collapsed="false">
      <c r="A69" s="4" t="s">
        <v>741</v>
      </c>
      <c r="B69" s="5" t="s">
        <v>179</v>
      </c>
      <c r="C69" s="5" t="s">
        <v>457</v>
      </c>
      <c r="D69" s="13" t="s">
        <v>458</v>
      </c>
      <c r="E69" s="5" t="s">
        <v>742</v>
      </c>
      <c r="F69" s="13" t="s">
        <v>164</v>
      </c>
      <c r="G69" s="13" t="s">
        <v>439</v>
      </c>
      <c r="H69" s="5" t="s">
        <v>743</v>
      </c>
      <c r="I69" s="5" t="s">
        <v>744</v>
      </c>
      <c r="J69" s="8" t="s">
        <v>22</v>
      </c>
      <c r="K69" s="5" t="s">
        <v>187</v>
      </c>
    </row>
    <row r="70" customFormat="false" ht="15" hidden="false" customHeight="false" outlineLevel="0" collapsed="false">
      <c r="A70" s="4" t="s">
        <v>745</v>
      </c>
      <c r="B70" s="5" t="s">
        <v>179</v>
      </c>
      <c r="C70" s="5" t="s">
        <v>746</v>
      </c>
      <c r="D70" s="13" t="s">
        <v>444</v>
      </c>
      <c r="E70" s="5" t="s">
        <v>747</v>
      </c>
      <c r="F70" s="13" t="s">
        <v>748</v>
      </c>
      <c r="G70" s="13" t="s">
        <v>439</v>
      </c>
      <c r="H70" s="5" t="s">
        <v>749</v>
      </c>
      <c r="I70" s="5" t="s">
        <v>387</v>
      </c>
      <c r="J70" s="8" t="s">
        <v>22</v>
      </c>
      <c r="K70" s="5" t="s">
        <v>187</v>
      </c>
    </row>
    <row r="71" customFormat="false" ht="15" hidden="false" customHeight="false" outlineLevel="0" collapsed="false">
      <c r="A71" s="4" t="s">
        <v>750</v>
      </c>
      <c r="B71" s="5" t="s">
        <v>189</v>
      </c>
      <c r="C71" s="5" t="s">
        <v>751</v>
      </c>
      <c r="D71" s="13" t="s">
        <v>477</v>
      </c>
      <c r="E71" s="5" t="s">
        <v>752</v>
      </c>
      <c r="F71" s="13" t="s">
        <v>164</v>
      </c>
      <c r="G71" s="13" t="s">
        <v>439</v>
      </c>
      <c r="H71" s="5"/>
      <c r="I71" s="5" t="s">
        <v>753</v>
      </c>
      <c r="J71" s="7" t="s">
        <v>20</v>
      </c>
      <c r="K71" s="5" t="s">
        <v>198</v>
      </c>
    </row>
    <row r="72" customFormat="false" ht="15" hidden="false" customHeight="false" outlineLevel="0" collapsed="false">
      <c r="A72" s="4" t="s">
        <v>754</v>
      </c>
      <c r="B72" s="5" t="s">
        <v>189</v>
      </c>
      <c r="C72" s="5" t="s">
        <v>755</v>
      </c>
      <c r="D72" s="13" t="s">
        <v>458</v>
      </c>
      <c r="E72" s="5" t="s">
        <v>756</v>
      </c>
      <c r="F72" s="13" t="s">
        <v>438</v>
      </c>
      <c r="G72" s="13" t="s">
        <v>439</v>
      </c>
      <c r="H72" s="5"/>
      <c r="I72" s="5" t="s">
        <v>757</v>
      </c>
      <c r="J72" s="7" t="s">
        <v>20</v>
      </c>
      <c r="K72" s="5" t="s">
        <v>198</v>
      </c>
    </row>
    <row r="73" customFormat="false" ht="15" hidden="false" customHeight="false" outlineLevel="0" collapsed="false">
      <c r="A73" s="4" t="s">
        <v>758</v>
      </c>
      <c r="B73" s="5" t="s">
        <v>189</v>
      </c>
      <c r="C73" s="5" t="s">
        <v>759</v>
      </c>
      <c r="D73" s="13" t="s">
        <v>477</v>
      </c>
      <c r="E73" s="5" t="s">
        <v>760</v>
      </c>
      <c r="F73" s="13" t="s">
        <v>164</v>
      </c>
      <c r="G73" s="13" t="s">
        <v>439</v>
      </c>
      <c r="H73" s="5" t="s">
        <v>761</v>
      </c>
      <c r="I73" s="5" t="s">
        <v>762</v>
      </c>
      <c r="J73" s="7" t="s">
        <v>20</v>
      </c>
      <c r="K73" s="5" t="s">
        <v>198</v>
      </c>
    </row>
    <row r="74" customFormat="false" ht="15" hidden="false" customHeight="false" outlineLevel="0" collapsed="false">
      <c r="A74" s="4" t="s">
        <v>763</v>
      </c>
      <c r="B74" s="5" t="s">
        <v>200</v>
      </c>
      <c r="C74" s="5" t="s">
        <v>764</v>
      </c>
      <c r="D74" s="13" t="s">
        <v>436</v>
      </c>
      <c r="E74" s="5" t="s">
        <v>765</v>
      </c>
      <c r="F74" s="13" t="s">
        <v>472</v>
      </c>
      <c r="G74" s="13" t="s">
        <v>439</v>
      </c>
      <c r="H74" s="5"/>
      <c r="I74" s="5" t="s">
        <v>766</v>
      </c>
      <c r="J74" s="7" t="s">
        <v>20</v>
      </c>
      <c r="K74" s="5" t="s">
        <v>409</v>
      </c>
    </row>
    <row r="75" customFormat="false" ht="15" hidden="false" customHeight="false" outlineLevel="0" collapsed="false">
      <c r="A75" s="4" t="s">
        <v>767</v>
      </c>
      <c r="B75" s="5" t="s">
        <v>200</v>
      </c>
      <c r="C75" s="5" t="s">
        <v>768</v>
      </c>
      <c r="D75" s="13" t="s">
        <v>436</v>
      </c>
      <c r="E75" s="5" t="s">
        <v>769</v>
      </c>
      <c r="F75" s="13" t="s">
        <v>770</v>
      </c>
      <c r="G75" s="13" t="s">
        <v>439</v>
      </c>
      <c r="H75" s="5" t="s">
        <v>771</v>
      </c>
      <c r="I75" s="5" t="s">
        <v>772</v>
      </c>
      <c r="J75" s="7" t="s">
        <v>20</v>
      </c>
      <c r="K75" s="5" t="s">
        <v>409</v>
      </c>
    </row>
    <row r="76" customFormat="false" ht="23.85" hidden="false" customHeight="false" outlineLevel="0" collapsed="false">
      <c r="A76" s="4" t="s">
        <v>773</v>
      </c>
      <c r="B76" s="5" t="s">
        <v>200</v>
      </c>
      <c r="C76" s="5" t="s">
        <v>774</v>
      </c>
      <c r="D76" s="13" t="s">
        <v>465</v>
      </c>
      <c r="E76" s="5" t="s">
        <v>775</v>
      </c>
      <c r="F76" s="13" t="s">
        <v>164</v>
      </c>
      <c r="G76" s="13" t="s">
        <v>446</v>
      </c>
      <c r="H76" s="5" t="s">
        <v>776</v>
      </c>
      <c r="I76" s="5" t="s">
        <v>47</v>
      </c>
      <c r="J76" s="7" t="s">
        <v>20</v>
      </c>
      <c r="K76" s="5" t="s">
        <v>409</v>
      </c>
    </row>
    <row r="77" customFormat="false" ht="15" hidden="false" customHeight="false" outlineLevel="0" collapsed="false">
      <c r="A77" s="4" t="s">
        <v>777</v>
      </c>
      <c r="B77" s="5" t="s">
        <v>200</v>
      </c>
      <c r="C77" s="5" t="s">
        <v>778</v>
      </c>
      <c r="D77" s="13" t="s">
        <v>436</v>
      </c>
      <c r="E77" s="5" t="s">
        <v>779</v>
      </c>
      <c r="F77" s="13" t="s">
        <v>472</v>
      </c>
      <c r="G77" s="13" t="s">
        <v>439</v>
      </c>
      <c r="H77" s="5"/>
      <c r="I77" s="5" t="s">
        <v>780</v>
      </c>
      <c r="J77" s="7" t="s">
        <v>20</v>
      </c>
      <c r="K77" s="5" t="s">
        <v>409</v>
      </c>
    </row>
    <row r="78" customFormat="false" ht="15" hidden="false" customHeight="false" outlineLevel="0" collapsed="false">
      <c r="A78" s="4" t="s">
        <v>781</v>
      </c>
      <c r="B78" s="5" t="s">
        <v>200</v>
      </c>
      <c r="C78" s="5" t="s">
        <v>782</v>
      </c>
      <c r="D78" s="13" t="s">
        <v>436</v>
      </c>
      <c r="E78" s="5" t="s">
        <v>783</v>
      </c>
      <c r="F78" s="13" t="s">
        <v>472</v>
      </c>
      <c r="G78" s="13" t="s">
        <v>439</v>
      </c>
      <c r="H78" s="5" t="s">
        <v>784</v>
      </c>
      <c r="I78" s="5" t="s">
        <v>785</v>
      </c>
      <c r="J78" s="10" t="s">
        <v>257</v>
      </c>
      <c r="K78" s="5" t="s">
        <v>786</v>
      </c>
    </row>
    <row r="79" customFormat="false" ht="15" hidden="false" customHeight="false" outlineLevel="0" collapsed="false">
      <c r="A79" s="4" t="s">
        <v>787</v>
      </c>
      <c r="B79" s="5" t="s">
        <v>200</v>
      </c>
      <c r="C79" s="5" t="s">
        <v>788</v>
      </c>
      <c r="D79" s="13" t="s">
        <v>477</v>
      </c>
      <c r="E79" s="5" t="s">
        <v>789</v>
      </c>
      <c r="F79" s="13" t="s">
        <v>164</v>
      </c>
      <c r="G79" s="13" t="s">
        <v>439</v>
      </c>
      <c r="H79" s="5" t="s">
        <v>790</v>
      </c>
      <c r="I79" s="5" t="s">
        <v>791</v>
      </c>
      <c r="J79" s="10" t="s">
        <v>257</v>
      </c>
      <c r="K79" s="5" t="s">
        <v>786</v>
      </c>
    </row>
    <row r="80" customFormat="false" ht="15" hidden="false" customHeight="false" outlineLevel="0" collapsed="false">
      <c r="A80" s="4" t="s">
        <v>792</v>
      </c>
      <c r="B80" s="5" t="s">
        <v>209</v>
      </c>
      <c r="C80" s="5" t="s">
        <v>774</v>
      </c>
      <c r="D80" s="13" t="s">
        <v>477</v>
      </c>
      <c r="E80" s="5" t="s">
        <v>793</v>
      </c>
      <c r="F80" s="13" t="s">
        <v>164</v>
      </c>
      <c r="G80" s="13" t="s">
        <v>439</v>
      </c>
      <c r="H80" s="5"/>
      <c r="I80" s="5" t="s">
        <v>794</v>
      </c>
      <c r="J80" s="7" t="s">
        <v>20</v>
      </c>
      <c r="K80" s="5" t="s">
        <v>795</v>
      </c>
    </row>
    <row r="81" customFormat="false" ht="15" hidden="false" customHeight="false" outlineLevel="0" collapsed="false">
      <c r="A81" s="4" t="s">
        <v>796</v>
      </c>
      <c r="B81" s="5" t="s">
        <v>209</v>
      </c>
      <c r="C81" s="5" t="s">
        <v>797</v>
      </c>
      <c r="D81" s="13" t="s">
        <v>477</v>
      </c>
      <c r="E81" s="5" t="s">
        <v>798</v>
      </c>
      <c r="F81" s="13" t="s">
        <v>164</v>
      </c>
      <c r="G81" s="13" t="s">
        <v>439</v>
      </c>
      <c r="H81" s="5"/>
      <c r="I81" s="5" t="s">
        <v>799</v>
      </c>
      <c r="J81" s="7" t="s">
        <v>20</v>
      </c>
      <c r="K81" s="5" t="s">
        <v>795</v>
      </c>
    </row>
    <row r="82" customFormat="false" ht="15" hidden="false" customHeight="false" outlineLevel="0" collapsed="false">
      <c r="A82" s="4" t="s">
        <v>800</v>
      </c>
      <c r="B82" s="5" t="s">
        <v>209</v>
      </c>
      <c r="C82" s="5" t="s">
        <v>801</v>
      </c>
      <c r="D82" s="13" t="s">
        <v>444</v>
      </c>
      <c r="E82" s="5" t="s">
        <v>802</v>
      </c>
      <c r="F82" s="13" t="s">
        <v>803</v>
      </c>
      <c r="G82" s="13" t="s">
        <v>439</v>
      </c>
      <c r="H82" s="5"/>
      <c r="I82" s="5" t="s">
        <v>804</v>
      </c>
      <c r="J82" s="7" t="s">
        <v>20</v>
      </c>
      <c r="K82" s="5" t="s">
        <v>805</v>
      </c>
    </row>
  </sheetData>
  <autoFilter ref="A4:K82"/>
  <conditionalFormatting sqref="G5:G82">
    <cfRule type="cellIs" priority="2" operator="equal" aboveAverage="0" equalAverage="0" bottom="0" percent="0" rank="0" text="" dxfId="14">
      <formula>"Engel"</formula>
    </cfRule>
    <cfRule type="cellIs" priority="3" operator="equal" aboveAverage="0" equalAverage="0" bottom="0" percent="0" rank="0" text="" dxfId="22">
      <formula>"Şart"</formula>
    </cfRule>
    <cfRule type="cellIs" priority="4" operator="equal" aboveAverage="0" equalAverage="0" bottom="0" percent="0" rank="0" text="" dxfId="15">
      <formula>"Uyarı"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17" min="3" style="0" width="11"/>
  </cols>
  <sheetData>
    <row r="1" customFormat="false" ht="17.35" hidden="false" customHeight="false" outlineLevel="0" collapsed="false">
      <c r="A1" s="1" t="s">
        <v>806</v>
      </c>
    </row>
    <row r="2" customFormat="false" ht="15" hidden="false" customHeight="false" outlineLevel="0" collapsed="false">
      <c r="A2" s="2" t="s">
        <v>807</v>
      </c>
    </row>
    <row r="3" customFormat="false" ht="15" hidden="false" customHeight="false" outlineLevel="0" collapsed="false">
      <c r="A3" s="6"/>
      <c r="B3" s="6" t="s">
        <v>808</v>
      </c>
      <c r="C3" s="14" t="s">
        <v>96</v>
      </c>
      <c r="D3" s="14" t="s">
        <v>101</v>
      </c>
      <c r="E3" s="14" t="s">
        <v>90</v>
      </c>
      <c r="F3" s="14" t="s">
        <v>68</v>
      </c>
      <c r="G3" s="14" t="s">
        <v>80</v>
      </c>
      <c r="H3" s="14" t="s">
        <v>114</v>
      </c>
      <c r="I3" s="14" t="s">
        <v>123</v>
      </c>
      <c r="J3" s="14" t="s">
        <v>133</v>
      </c>
      <c r="K3" s="14" t="s">
        <v>140</v>
      </c>
      <c r="L3" s="14" t="s">
        <v>150</v>
      </c>
      <c r="M3" s="14" t="s">
        <v>167</v>
      </c>
      <c r="N3" s="14" t="s">
        <v>179</v>
      </c>
      <c r="O3" s="14" t="s">
        <v>189</v>
      </c>
      <c r="P3" s="14" t="s">
        <v>200</v>
      </c>
      <c r="Q3" s="14" t="s">
        <v>209</v>
      </c>
    </row>
    <row r="4" customFormat="false" ht="42" hidden="false" customHeight="true" outlineLevel="0" collapsed="false">
      <c r="A4" s="6" t="s">
        <v>55</v>
      </c>
      <c r="B4" s="6" t="s">
        <v>809</v>
      </c>
      <c r="C4" s="15" t="s">
        <v>810</v>
      </c>
      <c r="D4" s="15" t="s">
        <v>811</v>
      </c>
      <c r="E4" s="15" t="s">
        <v>812</v>
      </c>
      <c r="F4" s="15" t="s">
        <v>813</v>
      </c>
      <c r="G4" s="15" t="s">
        <v>814</v>
      </c>
      <c r="H4" s="15" t="s">
        <v>815</v>
      </c>
      <c r="I4" s="15" t="s">
        <v>816</v>
      </c>
      <c r="J4" s="15" t="s">
        <v>817</v>
      </c>
      <c r="K4" s="15" t="s">
        <v>818</v>
      </c>
      <c r="L4" s="15" t="s">
        <v>368</v>
      </c>
      <c r="M4" s="15" t="s">
        <v>819</v>
      </c>
      <c r="N4" s="15" t="s">
        <v>820</v>
      </c>
      <c r="O4" s="15" t="s">
        <v>821</v>
      </c>
      <c r="P4" s="15" t="s">
        <v>822</v>
      </c>
      <c r="Q4" s="15" t="s">
        <v>823</v>
      </c>
    </row>
    <row r="5" customFormat="false" ht="15" hidden="false" customHeight="false" outlineLevel="0" collapsed="false">
      <c r="A5" s="4" t="s">
        <v>824</v>
      </c>
      <c r="B5" s="4" t="s">
        <v>825</v>
      </c>
      <c r="C5" s="16" t="str">
        <f aca="false">IFERROR(INDEX('Matris Gerekçeleri'!$F$5:$F$84,MATCH($A5&amp;"|"&amp;C$3,'Matris Gerekçeleri'!$A$5:$A$84,0)),"—")</f>
        <v>◐</v>
      </c>
      <c r="D5" s="16" t="str">
        <f aca="false">IFERROR(INDEX('Matris Gerekçeleri'!$F$5:$F$84,MATCH($A5&amp;"|"&amp;D$3,'Matris Gerekçeleri'!$A$5:$A$84,0)),"—")</f>
        <v>✖</v>
      </c>
      <c r="E5" s="16" t="str">
        <f aca="false">IFERROR(INDEX('Matris Gerekçeleri'!$F$5:$F$84,MATCH($A5&amp;"|"&amp;E$3,'Matris Gerekçeleri'!$A$5:$A$84,0)),"—")</f>
        <v>—</v>
      </c>
      <c r="F5" s="16" t="str">
        <f aca="false">IFERROR(INDEX('Matris Gerekçeleri'!$F$5:$F$84,MATCH($A5&amp;"|"&amp;F$3,'Matris Gerekçeleri'!$A$5:$A$84,0)),"—")</f>
        <v>—</v>
      </c>
      <c r="G5" s="16" t="str">
        <f aca="false">IFERROR(INDEX('Matris Gerekçeleri'!$F$5:$F$84,MATCH($A5&amp;"|"&amp;G$3,'Matris Gerekçeleri'!$A$5:$A$84,0)),"—")</f>
        <v>—</v>
      </c>
      <c r="H5" s="16" t="str">
        <f aca="false">IFERROR(INDEX('Matris Gerekçeleri'!$F$5:$F$84,MATCH($A5&amp;"|"&amp;H$3,'Matris Gerekçeleri'!$A$5:$A$84,0)),"—")</f>
        <v>✖</v>
      </c>
      <c r="I5" s="16" t="str">
        <f aca="false">IFERROR(INDEX('Matris Gerekçeleri'!$F$5:$F$84,MATCH($A5&amp;"|"&amp;I$3,'Matris Gerekçeleri'!$A$5:$A$84,0)),"—")</f>
        <v>✖</v>
      </c>
      <c r="J5" s="16" t="str">
        <f aca="false">IFERROR(INDEX('Matris Gerekçeleri'!$F$5:$F$84,MATCH($A5&amp;"|"&amp;J$3,'Matris Gerekçeleri'!$A$5:$A$84,0)),"—")</f>
        <v>✖</v>
      </c>
      <c r="K5" s="16" t="str">
        <f aca="false">IFERROR(INDEX('Matris Gerekçeleri'!$F$5:$F$84,MATCH($A5&amp;"|"&amp;K$3,'Matris Gerekçeleri'!$A$5:$A$84,0)),"—")</f>
        <v>◐</v>
      </c>
      <c r="L5" s="16" t="str">
        <f aca="false">IFERROR(INDEX('Matris Gerekçeleri'!$F$5:$F$84,MATCH($A5&amp;"|"&amp;L$3,'Matris Gerekçeleri'!$A$5:$A$84,0)),"—")</f>
        <v>◐</v>
      </c>
      <c r="M5" s="16" t="str">
        <f aca="false">IFERROR(INDEX('Matris Gerekçeleri'!$F$5:$F$84,MATCH($A5&amp;"|"&amp;M$3,'Matris Gerekçeleri'!$A$5:$A$84,0)),"—")</f>
        <v>—</v>
      </c>
      <c r="N5" s="16" t="str">
        <f aca="false">IFERROR(INDEX('Matris Gerekçeleri'!$F$5:$F$84,MATCH($A5&amp;"|"&amp;N$3,'Matris Gerekçeleri'!$A$5:$A$84,0)),"—")</f>
        <v>—</v>
      </c>
      <c r="O5" s="16" t="str">
        <f aca="false">IFERROR(INDEX('Matris Gerekçeleri'!$F$5:$F$84,MATCH($A5&amp;"|"&amp;O$3,'Matris Gerekçeleri'!$A$5:$A$84,0)),"—")</f>
        <v>—</v>
      </c>
      <c r="P5" s="16" t="str">
        <f aca="false">IFERROR(INDEX('Matris Gerekçeleri'!$F$5:$F$84,MATCH($A5&amp;"|"&amp;P$3,'Matris Gerekçeleri'!$A$5:$A$84,0)),"—")</f>
        <v>✔</v>
      </c>
      <c r="Q5" s="16" t="str">
        <f aca="false">IFERROR(INDEX('Matris Gerekçeleri'!$F$5:$F$84,MATCH($A5&amp;"|"&amp;Q$3,'Matris Gerekçeleri'!$A$5:$A$84,0)),"—")</f>
        <v>—</v>
      </c>
    </row>
    <row r="6" customFormat="false" ht="15" hidden="false" customHeight="false" outlineLevel="0" collapsed="false">
      <c r="A6" s="4" t="s">
        <v>826</v>
      </c>
      <c r="B6" s="4" t="s">
        <v>827</v>
      </c>
      <c r="C6" s="16" t="str">
        <f aca="false">IFERROR(INDEX('Matris Gerekçeleri'!$F$5:$F$84,MATCH($A6&amp;"|"&amp;C$3,'Matris Gerekçeleri'!$A$5:$A$84,0)),"—")</f>
        <v>✖</v>
      </c>
      <c r="D6" s="16" t="str">
        <f aca="false">IFERROR(INDEX('Matris Gerekçeleri'!$F$5:$F$84,MATCH($A6&amp;"|"&amp;D$3,'Matris Gerekçeleri'!$A$5:$A$84,0)),"—")</f>
        <v>◐</v>
      </c>
      <c r="E6" s="16" t="str">
        <f aca="false">IFERROR(INDEX('Matris Gerekçeleri'!$F$5:$F$84,MATCH($A6&amp;"|"&amp;E$3,'Matris Gerekçeleri'!$A$5:$A$84,0)),"—")</f>
        <v>—</v>
      </c>
      <c r="F6" s="16" t="str">
        <f aca="false">IFERROR(INDEX('Matris Gerekçeleri'!$F$5:$F$84,MATCH($A6&amp;"|"&amp;F$3,'Matris Gerekçeleri'!$A$5:$A$84,0)),"—")</f>
        <v>—</v>
      </c>
      <c r="G6" s="16" t="str">
        <f aca="false">IFERROR(INDEX('Matris Gerekçeleri'!$F$5:$F$84,MATCH($A6&amp;"|"&amp;G$3,'Matris Gerekçeleri'!$A$5:$A$84,0)),"—")</f>
        <v>—</v>
      </c>
      <c r="H6" s="16" t="str">
        <f aca="false">IFERROR(INDEX('Matris Gerekçeleri'!$F$5:$F$84,MATCH($A6&amp;"|"&amp;H$3,'Matris Gerekçeleri'!$A$5:$A$84,0)),"—")</f>
        <v>—</v>
      </c>
      <c r="I6" s="16" t="str">
        <f aca="false">IFERROR(INDEX('Matris Gerekçeleri'!$F$5:$F$84,MATCH($A6&amp;"|"&amp;I$3,'Matris Gerekçeleri'!$A$5:$A$84,0)),"—")</f>
        <v>✖</v>
      </c>
      <c r="J6" s="16" t="str">
        <f aca="false">IFERROR(INDEX('Matris Gerekçeleri'!$F$5:$F$84,MATCH($A6&amp;"|"&amp;J$3,'Matris Gerekçeleri'!$A$5:$A$84,0)),"—")</f>
        <v>—</v>
      </c>
      <c r="K6" s="16" t="str">
        <f aca="false">IFERROR(INDEX('Matris Gerekçeleri'!$F$5:$F$84,MATCH($A6&amp;"|"&amp;K$3,'Matris Gerekçeleri'!$A$5:$A$84,0)),"—")</f>
        <v>◐</v>
      </c>
      <c r="L6" s="16" t="str">
        <f aca="false">IFERROR(INDEX('Matris Gerekçeleri'!$F$5:$F$84,MATCH($A6&amp;"|"&amp;L$3,'Matris Gerekçeleri'!$A$5:$A$84,0)),"—")</f>
        <v>—</v>
      </c>
      <c r="M6" s="16" t="str">
        <f aca="false">IFERROR(INDEX('Matris Gerekçeleri'!$F$5:$F$84,MATCH($A6&amp;"|"&amp;M$3,'Matris Gerekçeleri'!$A$5:$A$84,0)),"—")</f>
        <v>—</v>
      </c>
      <c r="N6" s="16" t="str">
        <f aca="false">IFERROR(INDEX('Matris Gerekçeleri'!$F$5:$F$84,MATCH($A6&amp;"|"&amp;N$3,'Matris Gerekçeleri'!$A$5:$A$84,0)),"—")</f>
        <v>—</v>
      </c>
      <c r="O6" s="16" t="str">
        <f aca="false">IFERROR(INDEX('Matris Gerekçeleri'!$F$5:$F$84,MATCH($A6&amp;"|"&amp;O$3,'Matris Gerekçeleri'!$A$5:$A$84,0)),"—")</f>
        <v>—</v>
      </c>
      <c r="P6" s="16" t="str">
        <f aca="false">IFERROR(INDEX('Matris Gerekçeleri'!$F$5:$F$84,MATCH($A6&amp;"|"&amp;P$3,'Matris Gerekçeleri'!$A$5:$A$84,0)),"—")</f>
        <v>✔</v>
      </c>
      <c r="Q6" s="16" t="str">
        <f aca="false">IFERROR(INDEX('Matris Gerekçeleri'!$F$5:$F$84,MATCH($A6&amp;"|"&amp;Q$3,'Matris Gerekçeleri'!$A$5:$A$84,0)),"—")</f>
        <v>—</v>
      </c>
    </row>
    <row r="7" customFormat="false" ht="15" hidden="false" customHeight="false" outlineLevel="0" collapsed="false">
      <c r="A7" s="4" t="s">
        <v>828</v>
      </c>
      <c r="B7" s="4" t="s">
        <v>829</v>
      </c>
      <c r="C7" s="16" t="str">
        <f aca="false">IFERROR(INDEX('Matris Gerekçeleri'!$F$5:$F$84,MATCH($A7&amp;"|"&amp;C$3,'Matris Gerekçeleri'!$A$5:$A$84,0)),"—")</f>
        <v>—</v>
      </c>
      <c r="D7" s="16" t="str">
        <f aca="false">IFERROR(INDEX('Matris Gerekçeleri'!$F$5:$F$84,MATCH($A7&amp;"|"&amp;D$3,'Matris Gerekçeleri'!$A$5:$A$84,0)),"—")</f>
        <v>◐</v>
      </c>
      <c r="E7" s="16" t="str">
        <f aca="false">IFERROR(INDEX('Matris Gerekçeleri'!$F$5:$F$84,MATCH($A7&amp;"|"&amp;E$3,'Matris Gerekçeleri'!$A$5:$A$84,0)),"—")</f>
        <v>—</v>
      </c>
      <c r="F7" s="16" t="str">
        <f aca="false">IFERROR(INDEX('Matris Gerekçeleri'!$F$5:$F$84,MATCH($A7&amp;"|"&amp;F$3,'Matris Gerekçeleri'!$A$5:$A$84,0)),"—")</f>
        <v>—</v>
      </c>
      <c r="G7" s="16" t="str">
        <f aca="false">IFERROR(INDEX('Matris Gerekçeleri'!$F$5:$F$84,MATCH($A7&amp;"|"&amp;G$3,'Matris Gerekçeleri'!$A$5:$A$84,0)),"—")</f>
        <v>—</v>
      </c>
      <c r="H7" s="16" t="str">
        <f aca="false">IFERROR(INDEX('Matris Gerekçeleri'!$F$5:$F$84,MATCH($A7&amp;"|"&amp;H$3,'Matris Gerekçeleri'!$A$5:$A$84,0)),"—")</f>
        <v>—</v>
      </c>
      <c r="I7" s="16" t="str">
        <f aca="false">IFERROR(INDEX('Matris Gerekçeleri'!$F$5:$F$84,MATCH($A7&amp;"|"&amp;I$3,'Matris Gerekçeleri'!$A$5:$A$84,0)),"—")</f>
        <v>—</v>
      </c>
      <c r="J7" s="16" t="str">
        <f aca="false">IFERROR(INDEX('Matris Gerekçeleri'!$F$5:$F$84,MATCH($A7&amp;"|"&amp;J$3,'Matris Gerekçeleri'!$A$5:$A$84,0)),"—")</f>
        <v>—</v>
      </c>
      <c r="K7" s="16" t="str">
        <f aca="false">IFERROR(INDEX('Matris Gerekçeleri'!$F$5:$F$84,MATCH($A7&amp;"|"&amp;K$3,'Matris Gerekçeleri'!$A$5:$A$84,0)),"—")</f>
        <v>—</v>
      </c>
      <c r="L7" s="16" t="str">
        <f aca="false">IFERROR(INDEX('Matris Gerekçeleri'!$F$5:$F$84,MATCH($A7&amp;"|"&amp;L$3,'Matris Gerekçeleri'!$A$5:$A$84,0)),"—")</f>
        <v>—</v>
      </c>
      <c r="M7" s="16" t="str">
        <f aca="false">IFERROR(INDEX('Matris Gerekçeleri'!$F$5:$F$84,MATCH($A7&amp;"|"&amp;M$3,'Matris Gerekçeleri'!$A$5:$A$84,0)),"—")</f>
        <v>—</v>
      </c>
      <c r="N7" s="16" t="str">
        <f aca="false">IFERROR(INDEX('Matris Gerekçeleri'!$F$5:$F$84,MATCH($A7&amp;"|"&amp;N$3,'Matris Gerekçeleri'!$A$5:$A$84,0)),"—")</f>
        <v>—</v>
      </c>
      <c r="O7" s="16" t="str">
        <f aca="false">IFERROR(INDEX('Matris Gerekçeleri'!$F$5:$F$84,MATCH($A7&amp;"|"&amp;O$3,'Matris Gerekçeleri'!$A$5:$A$84,0)),"—")</f>
        <v>✔</v>
      </c>
      <c r="P7" s="16" t="str">
        <f aca="false">IFERROR(INDEX('Matris Gerekçeleri'!$F$5:$F$84,MATCH($A7&amp;"|"&amp;P$3,'Matris Gerekçeleri'!$A$5:$A$84,0)),"—")</f>
        <v>—</v>
      </c>
      <c r="Q7" s="16" t="str">
        <f aca="false">IFERROR(INDEX('Matris Gerekçeleri'!$F$5:$F$84,MATCH($A7&amp;"|"&amp;Q$3,'Matris Gerekçeleri'!$A$5:$A$84,0)),"—")</f>
        <v>—</v>
      </c>
    </row>
    <row r="8" customFormat="false" ht="15" hidden="false" customHeight="false" outlineLevel="0" collapsed="false">
      <c r="A8" s="4" t="s">
        <v>830</v>
      </c>
      <c r="B8" s="4" t="s">
        <v>831</v>
      </c>
      <c r="C8" s="16" t="str">
        <f aca="false">IFERROR(INDEX('Matris Gerekçeleri'!$F$5:$F$84,MATCH($A8&amp;"|"&amp;C$3,'Matris Gerekçeleri'!$A$5:$A$84,0)),"—")</f>
        <v>—</v>
      </c>
      <c r="D8" s="16" t="str">
        <f aca="false">IFERROR(INDEX('Matris Gerekçeleri'!$F$5:$F$84,MATCH($A8&amp;"|"&amp;D$3,'Matris Gerekçeleri'!$A$5:$A$84,0)),"—")</f>
        <v>◐</v>
      </c>
      <c r="E8" s="16" t="str">
        <f aca="false">IFERROR(INDEX('Matris Gerekçeleri'!$F$5:$F$84,MATCH($A8&amp;"|"&amp;E$3,'Matris Gerekçeleri'!$A$5:$A$84,0)),"—")</f>
        <v>—</v>
      </c>
      <c r="F8" s="16" t="str">
        <f aca="false">IFERROR(INDEX('Matris Gerekçeleri'!$F$5:$F$84,MATCH($A8&amp;"|"&amp;F$3,'Matris Gerekçeleri'!$A$5:$A$84,0)),"—")</f>
        <v>—</v>
      </c>
      <c r="G8" s="16" t="str">
        <f aca="false">IFERROR(INDEX('Matris Gerekçeleri'!$F$5:$F$84,MATCH($A8&amp;"|"&amp;G$3,'Matris Gerekçeleri'!$A$5:$A$84,0)),"—")</f>
        <v>—</v>
      </c>
      <c r="H8" s="16" t="str">
        <f aca="false">IFERROR(INDEX('Matris Gerekçeleri'!$F$5:$F$84,MATCH($A8&amp;"|"&amp;H$3,'Matris Gerekçeleri'!$A$5:$A$84,0)),"—")</f>
        <v>—</v>
      </c>
      <c r="I8" s="16" t="str">
        <f aca="false">IFERROR(INDEX('Matris Gerekçeleri'!$F$5:$F$84,MATCH($A8&amp;"|"&amp;I$3,'Matris Gerekçeleri'!$A$5:$A$84,0)),"—")</f>
        <v>—</v>
      </c>
      <c r="J8" s="16" t="str">
        <f aca="false">IFERROR(INDEX('Matris Gerekçeleri'!$F$5:$F$84,MATCH($A8&amp;"|"&amp;J$3,'Matris Gerekçeleri'!$A$5:$A$84,0)),"—")</f>
        <v>—</v>
      </c>
      <c r="K8" s="16" t="str">
        <f aca="false">IFERROR(INDEX('Matris Gerekçeleri'!$F$5:$F$84,MATCH($A8&amp;"|"&amp;K$3,'Matris Gerekçeleri'!$A$5:$A$84,0)),"—")</f>
        <v>—</v>
      </c>
      <c r="L8" s="16" t="str">
        <f aca="false">IFERROR(INDEX('Matris Gerekçeleri'!$F$5:$F$84,MATCH($A8&amp;"|"&amp;L$3,'Matris Gerekçeleri'!$A$5:$A$84,0)),"—")</f>
        <v>—</v>
      </c>
      <c r="M8" s="16" t="str">
        <f aca="false">IFERROR(INDEX('Matris Gerekçeleri'!$F$5:$F$84,MATCH($A8&amp;"|"&amp;M$3,'Matris Gerekçeleri'!$A$5:$A$84,0)),"—")</f>
        <v>—</v>
      </c>
      <c r="N8" s="16" t="str">
        <f aca="false">IFERROR(INDEX('Matris Gerekçeleri'!$F$5:$F$84,MATCH($A8&amp;"|"&amp;N$3,'Matris Gerekçeleri'!$A$5:$A$84,0)),"—")</f>
        <v>—</v>
      </c>
      <c r="O8" s="16" t="str">
        <f aca="false">IFERROR(INDEX('Matris Gerekçeleri'!$F$5:$F$84,MATCH($A8&amp;"|"&amp;O$3,'Matris Gerekçeleri'!$A$5:$A$84,0)),"—")</f>
        <v>—</v>
      </c>
      <c r="P8" s="16" t="str">
        <f aca="false">IFERROR(INDEX('Matris Gerekçeleri'!$F$5:$F$84,MATCH($A8&amp;"|"&amp;P$3,'Matris Gerekçeleri'!$A$5:$A$84,0)),"—")</f>
        <v>—</v>
      </c>
      <c r="Q8" s="16" t="str">
        <f aca="false">IFERROR(INDEX('Matris Gerekçeleri'!$F$5:$F$84,MATCH($A8&amp;"|"&amp;Q$3,'Matris Gerekçeleri'!$A$5:$A$84,0)),"—")</f>
        <v>✔</v>
      </c>
    </row>
    <row r="9" customFormat="false" ht="15" hidden="false" customHeight="false" outlineLevel="0" collapsed="false">
      <c r="A9" s="4" t="s">
        <v>832</v>
      </c>
      <c r="B9" s="4" t="s">
        <v>833</v>
      </c>
      <c r="C9" s="16" t="str">
        <f aca="false">IFERROR(INDEX('Matris Gerekçeleri'!$F$5:$F$84,MATCH($A9&amp;"|"&amp;C$3,'Matris Gerekçeleri'!$A$5:$A$84,0)),"—")</f>
        <v>◐</v>
      </c>
      <c r="D9" s="16" t="str">
        <f aca="false">IFERROR(INDEX('Matris Gerekçeleri'!$F$5:$F$84,MATCH($A9&amp;"|"&amp;D$3,'Matris Gerekçeleri'!$A$5:$A$84,0)),"—")</f>
        <v>—</v>
      </c>
      <c r="E9" s="16" t="str">
        <f aca="false">IFERROR(INDEX('Matris Gerekçeleri'!$F$5:$F$84,MATCH($A9&amp;"|"&amp;E$3,'Matris Gerekçeleri'!$A$5:$A$84,0)),"—")</f>
        <v>—</v>
      </c>
      <c r="F9" s="16" t="str">
        <f aca="false">IFERROR(INDEX('Matris Gerekçeleri'!$F$5:$F$84,MATCH($A9&amp;"|"&amp;F$3,'Matris Gerekçeleri'!$A$5:$A$84,0)),"—")</f>
        <v>—</v>
      </c>
      <c r="G9" s="16" t="str">
        <f aca="false">IFERROR(INDEX('Matris Gerekçeleri'!$F$5:$F$84,MATCH($A9&amp;"|"&amp;G$3,'Matris Gerekçeleri'!$A$5:$A$84,0)),"—")</f>
        <v>—</v>
      </c>
      <c r="H9" s="16" t="str">
        <f aca="false">IFERROR(INDEX('Matris Gerekçeleri'!$F$5:$F$84,MATCH($A9&amp;"|"&amp;H$3,'Matris Gerekçeleri'!$A$5:$A$84,0)),"—")</f>
        <v>—</v>
      </c>
      <c r="I9" s="16" t="str">
        <f aca="false">IFERROR(INDEX('Matris Gerekçeleri'!$F$5:$F$84,MATCH($A9&amp;"|"&amp;I$3,'Matris Gerekçeleri'!$A$5:$A$84,0)),"—")</f>
        <v>—</v>
      </c>
      <c r="J9" s="16" t="str">
        <f aca="false">IFERROR(INDEX('Matris Gerekçeleri'!$F$5:$F$84,MATCH($A9&amp;"|"&amp;J$3,'Matris Gerekçeleri'!$A$5:$A$84,0)),"—")</f>
        <v>—</v>
      </c>
      <c r="K9" s="16" t="str">
        <f aca="false">IFERROR(INDEX('Matris Gerekçeleri'!$F$5:$F$84,MATCH($A9&amp;"|"&amp;K$3,'Matris Gerekçeleri'!$A$5:$A$84,0)),"—")</f>
        <v>—</v>
      </c>
      <c r="L9" s="16" t="str">
        <f aca="false">IFERROR(INDEX('Matris Gerekçeleri'!$F$5:$F$84,MATCH($A9&amp;"|"&amp;L$3,'Matris Gerekçeleri'!$A$5:$A$84,0)),"—")</f>
        <v>—</v>
      </c>
      <c r="M9" s="16" t="str">
        <f aca="false">IFERROR(INDEX('Matris Gerekçeleri'!$F$5:$F$84,MATCH($A9&amp;"|"&amp;M$3,'Matris Gerekçeleri'!$A$5:$A$84,0)),"—")</f>
        <v>—</v>
      </c>
      <c r="N9" s="16" t="str">
        <f aca="false">IFERROR(INDEX('Matris Gerekçeleri'!$F$5:$F$84,MATCH($A9&amp;"|"&amp;N$3,'Matris Gerekçeleri'!$A$5:$A$84,0)),"—")</f>
        <v>—</v>
      </c>
      <c r="O9" s="16" t="str">
        <f aca="false">IFERROR(INDEX('Matris Gerekçeleri'!$F$5:$F$84,MATCH($A9&amp;"|"&amp;O$3,'Matris Gerekçeleri'!$A$5:$A$84,0)),"—")</f>
        <v>—</v>
      </c>
      <c r="P9" s="16" t="str">
        <f aca="false">IFERROR(INDEX('Matris Gerekçeleri'!$F$5:$F$84,MATCH($A9&amp;"|"&amp;P$3,'Matris Gerekçeleri'!$A$5:$A$84,0)),"—")</f>
        <v>✔</v>
      </c>
      <c r="Q9" s="16" t="str">
        <f aca="false">IFERROR(INDEX('Matris Gerekçeleri'!$F$5:$F$84,MATCH($A9&amp;"|"&amp;Q$3,'Matris Gerekçeleri'!$A$5:$A$84,0)),"—")</f>
        <v>—</v>
      </c>
    </row>
    <row r="10" customFormat="false" ht="15" hidden="false" customHeight="false" outlineLevel="0" collapsed="false">
      <c r="A10" s="4" t="s">
        <v>834</v>
      </c>
      <c r="B10" s="4" t="s">
        <v>835</v>
      </c>
      <c r="C10" s="16" t="str">
        <f aca="false">IFERROR(INDEX('Matris Gerekçeleri'!$F$5:$F$84,MATCH($A10&amp;"|"&amp;C$3,'Matris Gerekçeleri'!$A$5:$A$84,0)),"—")</f>
        <v>—</v>
      </c>
      <c r="D10" s="16" t="str">
        <f aca="false">IFERROR(INDEX('Matris Gerekçeleri'!$F$5:$F$84,MATCH($A10&amp;"|"&amp;D$3,'Matris Gerekçeleri'!$A$5:$A$84,0)),"—")</f>
        <v>◐</v>
      </c>
      <c r="E10" s="16" t="str">
        <f aca="false">IFERROR(INDEX('Matris Gerekçeleri'!$F$5:$F$84,MATCH($A10&amp;"|"&amp;E$3,'Matris Gerekçeleri'!$A$5:$A$84,0)),"—")</f>
        <v>—</v>
      </c>
      <c r="F10" s="16" t="str">
        <f aca="false">IFERROR(INDEX('Matris Gerekçeleri'!$F$5:$F$84,MATCH($A10&amp;"|"&amp;F$3,'Matris Gerekçeleri'!$A$5:$A$84,0)),"—")</f>
        <v>—</v>
      </c>
      <c r="G10" s="16" t="str">
        <f aca="false">IFERROR(INDEX('Matris Gerekçeleri'!$F$5:$F$84,MATCH($A10&amp;"|"&amp;G$3,'Matris Gerekçeleri'!$A$5:$A$84,0)),"—")</f>
        <v>—</v>
      </c>
      <c r="H10" s="16" t="str">
        <f aca="false">IFERROR(INDEX('Matris Gerekçeleri'!$F$5:$F$84,MATCH($A10&amp;"|"&amp;H$3,'Matris Gerekçeleri'!$A$5:$A$84,0)),"—")</f>
        <v>—</v>
      </c>
      <c r="I10" s="16" t="str">
        <f aca="false">IFERROR(INDEX('Matris Gerekçeleri'!$F$5:$F$84,MATCH($A10&amp;"|"&amp;I$3,'Matris Gerekçeleri'!$A$5:$A$84,0)),"—")</f>
        <v>—</v>
      </c>
      <c r="J10" s="16" t="str">
        <f aca="false">IFERROR(INDEX('Matris Gerekçeleri'!$F$5:$F$84,MATCH($A10&amp;"|"&amp;J$3,'Matris Gerekçeleri'!$A$5:$A$84,0)),"—")</f>
        <v>—</v>
      </c>
      <c r="K10" s="16" t="str">
        <f aca="false">IFERROR(INDEX('Matris Gerekçeleri'!$F$5:$F$84,MATCH($A10&amp;"|"&amp;K$3,'Matris Gerekçeleri'!$A$5:$A$84,0)),"—")</f>
        <v>—</v>
      </c>
      <c r="L10" s="16" t="str">
        <f aca="false">IFERROR(INDEX('Matris Gerekçeleri'!$F$5:$F$84,MATCH($A10&amp;"|"&amp;L$3,'Matris Gerekçeleri'!$A$5:$A$84,0)),"—")</f>
        <v>—</v>
      </c>
      <c r="M10" s="16" t="str">
        <f aca="false">IFERROR(INDEX('Matris Gerekçeleri'!$F$5:$F$84,MATCH($A10&amp;"|"&amp;M$3,'Matris Gerekçeleri'!$A$5:$A$84,0)),"—")</f>
        <v>—</v>
      </c>
      <c r="N10" s="16" t="str">
        <f aca="false">IFERROR(INDEX('Matris Gerekçeleri'!$F$5:$F$84,MATCH($A10&amp;"|"&amp;N$3,'Matris Gerekçeleri'!$A$5:$A$84,0)),"—")</f>
        <v>—</v>
      </c>
      <c r="O10" s="16" t="str">
        <f aca="false">IFERROR(INDEX('Matris Gerekçeleri'!$F$5:$F$84,MATCH($A10&amp;"|"&amp;O$3,'Matris Gerekçeleri'!$A$5:$A$84,0)),"—")</f>
        <v>✔</v>
      </c>
      <c r="P10" s="16" t="str">
        <f aca="false">IFERROR(INDEX('Matris Gerekçeleri'!$F$5:$F$84,MATCH($A10&amp;"|"&amp;P$3,'Matris Gerekçeleri'!$A$5:$A$84,0)),"—")</f>
        <v>—</v>
      </c>
      <c r="Q10" s="16" t="str">
        <f aca="false">IFERROR(INDEX('Matris Gerekçeleri'!$F$5:$F$84,MATCH($A10&amp;"|"&amp;Q$3,'Matris Gerekçeleri'!$A$5:$A$84,0)),"—")</f>
        <v>✔</v>
      </c>
    </row>
    <row r="11" customFormat="false" ht="15" hidden="false" customHeight="false" outlineLevel="0" collapsed="false">
      <c r="A11" s="4" t="s">
        <v>836</v>
      </c>
      <c r="B11" s="4" t="s">
        <v>837</v>
      </c>
      <c r="C11" s="16" t="str">
        <f aca="false">IFERROR(INDEX('Matris Gerekçeleri'!$F$5:$F$84,MATCH($A11&amp;"|"&amp;C$3,'Matris Gerekçeleri'!$A$5:$A$84,0)),"—")</f>
        <v>◐</v>
      </c>
      <c r="D11" s="16" t="str">
        <f aca="false">IFERROR(INDEX('Matris Gerekçeleri'!$F$5:$F$84,MATCH($A11&amp;"|"&amp;D$3,'Matris Gerekçeleri'!$A$5:$A$84,0)),"—")</f>
        <v>—</v>
      </c>
      <c r="E11" s="16" t="str">
        <f aca="false">IFERROR(INDEX('Matris Gerekçeleri'!$F$5:$F$84,MATCH($A11&amp;"|"&amp;E$3,'Matris Gerekçeleri'!$A$5:$A$84,0)),"—")</f>
        <v>—</v>
      </c>
      <c r="F11" s="16" t="str">
        <f aca="false">IFERROR(INDEX('Matris Gerekçeleri'!$F$5:$F$84,MATCH($A11&amp;"|"&amp;F$3,'Matris Gerekçeleri'!$A$5:$A$84,0)),"—")</f>
        <v>—</v>
      </c>
      <c r="G11" s="16" t="str">
        <f aca="false">IFERROR(INDEX('Matris Gerekçeleri'!$F$5:$F$84,MATCH($A11&amp;"|"&amp;G$3,'Matris Gerekçeleri'!$A$5:$A$84,0)),"—")</f>
        <v>—</v>
      </c>
      <c r="H11" s="16" t="str">
        <f aca="false">IFERROR(INDEX('Matris Gerekçeleri'!$F$5:$F$84,MATCH($A11&amp;"|"&amp;H$3,'Matris Gerekçeleri'!$A$5:$A$84,0)),"—")</f>
        <v>—</v>
      </c>
      <c r="I11" s="16" t="str">
        <f aca="false">IFERROR(INDEX('Matris Gerekçeleri'!$F$5:$F$84,MATCH($A11&amp;"|"&amp;I$3,'Matris Gerekçeleri'!$A$5:$A$84,0)),"—")</f>
        <v>✖</v>
      </c>
      <c r="J11" s="16" t="str">
        <f aca="false">IFERROR(INDEX('Matris Gerekçeleri'!$F$5:$F$84,MATCH($A11&amp;"|"&amp;J$3,'Matris Gerekçeleri'!$A$5:$A$84,0)),"—")</f>
        <v>—</v>
      </c>
      <c r="K11" s="16" t="str">
        <f aca="false">IFERROR(INDEX('Matris Gerekçeleri'!$F$5:$F$84,MATCH($A11&amp;"|"&amp;K$3,'Matris Gerekçeleri'!$A$5:$A$84,0)),"—")</f>
        <v>◐</v>
      </c>
      <c r="L11" s="16" t="str">
        <f aca="false">IFERROR(INDEX('Matris Gerekçeleri'!$F$5:$F$84,MATCH($A11&amp;"|"&amp;L$3,'Matris Gerekçeleri'!$A$5:$A$84,0)),"—")</f>
        <v>—</v>
      </c>
      <c r="M11" s="16" t="str">
        <f aca="false">IFERROR(INDEX('Matris Gerekçeleri'!$F$5:$F$84,MATCH($A11&amp;"|"&amp;M$3,'Matris Gerekçeleri'!$A$5:$A$84,0)),"—")</f>
        <v>—</v>
      </c>
      <c r="N11" s="16" t="str">
        <f aca="false">IFERROR(INDEX('Matris Gerekçeleri'!$F$5:$F$84,MATCH($A11&amp;"|"&amp;N$3,'Matris Gerekçeleri'!$A$5:$A$84,0)),"—")</f>
        <v>—</v>
      </c>
      <c r="O11" s="16" t="str">
        <f aca="false">IFERROR(INDEX('Matris Gerekçeleri'!$F$5:$F$84,MATCH($A11&amp;"|"&amp;O$3,'Matris Gerekçeleri'!$A$5:$A$84,0)),"—")</f>
        <v>—</v>
      </c>
      <c r="P11" s="16" t="str">
        <f aca="false">IFERROR(INDEX('Matris Gerekçeleri'!$F$5:$F$84,MATCH($A11&amp;"|"&amp;P$3,'Matris Gerekçeleri'!$A$5:$A$84,0)),"—")</f>
        <v>◐</v>
      </c>
      <c r="Q11" s="16" t="str">
        <f aca="false">IFERROR(INDEX('Matris Gerekçeleri'!$F$5:$F$84,MATCH($A11&amp;"|"&amp;Q$3,'Matris Gerekçeleri'!$A$5:$A$84,0)),"—")</f>
        <v>—</v>
      </c>
    </row>
    <row r="12" customFormat="false" ht="15" hidden="false" customHeight="false" outlineLevel="0" collapsed="false">
      <c r="A12" s="4" t="s">
        <v>838</v>
      </c>
      <c r="B12" s="4" t="s">
        <v>839</v>
      </c>
      <c r="C12" s="16" t="str">
        <f aca="false">IFERROR(INDEX('Matris Gerekçeleri'!$F$5:$F$84,MATCH($A12&amp;"|"&amp;C$3,'Matris Gerekçeleri'!$A$5:$A$84,0)),"—")</f>
        <v>—</v>
      </c>
      <c r="D12" s="16" t="str">
        <f aca="false">IFERROR(INDEX('Matris Gerekçeleri'!$F$5:$F$84,MATCH($A12&amp;"|"&amp;D$3,'Matris Gerekçeleri'!$A$5:$A$84,0)),"—")</f>
        <v>◐</v>
      </c>
      <c r="E12" s="16" t="str">
        <f aca="false">IFERROR(INDEX('Matris Gerekçeleri'!$F$5:$F$84,MATCH($A12&amp;"|"&amp;E$3,'Matris Gerekçeleri'!$A$5:$A$84,0)),"—")</f>
        <v>—</v>
      </c>
      <c r="F12" s="16" t="str">
        <f aca="false">IFERROR(INDEX('Matris Gerekçeleri'!$F$5:$F$84,MATCH($A12&amp;"|"&amp;F$3,'Matris Gerekçeleri'!$A$5:$A$84,0)),"—")</f>
        <v>—</v>
      </c>
      <c r="G12" s="16" t="str">
        <f aca="false">IFERROR(INDEX('Matris Gerekçeleri'!$F$5:$F$84,MATCH($A12&amp;"|"&amp;G$3,'Matris Gerekçeleri'!$A$5:$A$84,0)),"—")</f>
        <v>—</v>
      </c>
      <c r="H12" s="16" t="str">
        <f aca="false">IFERROR(INDEX('Matris Gerekçeleri'!$F$5:$F$84,MATCH($A12&amp;"|"&amp;H$3,'Matris Gerekçeleri'!$A$5:$A$84,0)),"—")</f>
        <v>—</v>
      </c>
      <c r="I12" s="16" t="str">
        <f aca="false">IFERROR(INDEX('Matris Gerekçeleri'!$F$5:$F$84,MATCH($A12&amp;"|"&amp;I$3,'Matris Gerekçeleri'!$A$5:$A$84,0)),"—")</f>
        <v>—</v>
      </c>
      <c r="J12" s="16" t="str">
        <f aca="false">IFERROR(INDEX('Matris Gerekçeleri'!$F$5:$F$84,MATCH($A12&amp;"|"&amp;J$3,'Matris Gerekçeleri'!$A$5:$A$84,0)),"—")</f>
        <v>—</v>
      </c>
      <c r="K12" s="16" t="str">
        <f aca="false">IFERROR(INDEX('Matris Gerekçeleri'!$F$5:$F$84,MATCH($A12&amp;"|"&amp;K$3,'Matris Gerekçeleri'!$A$5:$A$84,0)),"—")</f>
        <v>—</v>
      </c>
      <c r="L12" s="16" t="str">
        <f aca="false">IFERROR(INDEX('Matris Gerekçeleri'!$F$5:$F$84,MATCH($A12&amp;"|"&amp;L$3,'Matris Gerekçeleri'!$A$5:$A$84,0)),"—")</f>
        <v>—</v>
      </c>
      <c r="M12" s="16" t="str">
        <f aca="false">IFERROR(INDEX('Matris Gerekçeleri'!$F$5:$F$84,MATCH($A12&amp;"|"&amp;M$3,'Matris Gerekçeleri'!$A$5:$A$84,0)),"—")</f>
        <v>—</v>
      </c>
      <c r="N12" s="16" t="str">
        <f aca="false">IFERROR(INDEX('Matris Gerekçeleri'!$F$5:$F$84,MATCH($A12&amp;"|"&amp;N$3,'Matris Gerekçeleri'!$A$5:$A$84,0)),"—")</f>
        <v>—</v>
      </c>
      <c r="O12" s="16" t="str">
        <f aca="false">IFERROR(INDEX('Matris Gerekçeleri'!$F$5:$F$84,MATCH($A12&amp;"|"&amp;O$3,'Matris Gerekçeleri'!$A$5:$A$84,0)),"—")</f>
        <v>✔</v>
      </c>
      <c r="P12" s="16" t="str">
        <f aca="false">IFERROR(INDEX('Matris Gerekçeleri'!$F$5:$F$84,MATCH($A12&amp;"|"&amp;P$3,'Matris Gerekçeleri'!$A$5:$A$84,0)),"—")</f>
        <v>✔</v>
      </c>
      <c r="Q12" s="16" t="str">
        <f aca="false">IFERROR(INDEX('Matris Gerekçeleri'!$F$5:$F$84,MATCH($A12&amp;"|"&amp;Q$3,'Matris Gerekçeleri'!$A$5:$A$84,0)),"—")</f>
        <v>—</v>
      </c>
    </row>
    <row r="13" customFormat="false" ht="15" hidden="false" customHeight="false" outlineLevel="0" collapsed="false">
      <c r="A13" s="4" t="s">
        <v>840</v>
      </c>
      <c r="B13" s="4" t="s">
        <v>841</v>
      </c>
      <c r="C13" s="16" t="str">
        <f aca="false">IFERROR(INDEX('Matris Gerekçeleri'!$F$5:$F$84,MATCH($A13&amp;"|"&amp;C$3,'Matris Gerekçeleri'!$A$5:$A$84,0)),"—")</f>
        <v>—</v>
      </c>
      <c r="D13" s="16" t="str">
        <f aca="false">IFERROR(INDEX('Matris Gerekçeleri'!$F$5:$F$84,MATCH($A13&amp;"|"&amp;D$3,'Matris Gerekçeleri'!$A$5:$A$84,0)),"—")</f>
        <v>◐</v>
      </c>
      <c r="E13" s="16" t="str">
        <f aca="false">IFERROR(INDEX('Matris Gerekçeleri'!$F$5:$F$84,MATCH($A13&amp;"|"&amp;E$3,'Matris Gerekçeleri'!$A$5:$A$84,0)),"—")</f>
        <v>—</v>
      </c>
      <c r="F13" s="16" t="str">
        <f aca="false">IFERROR(INDEX('Matris Gerekçeleri'!$F$5:$F$84,MATCH($A13&amp;"|"&amp;F$3,'Matris Gerekçeleri'!$A$5:$A$84,0)),"—")</f>
        <v>—</v>
      </c>
      <c r="G13" s="16" t="str">
        <f aca="false">IFERROR(INDEX('Matris Gerekçeleri'!$F$5:$F$84,MATCH($A13&amp;"|"&amp;G$3,'Matris Gerekçeleri'!$A$5:$A$84,0)),"—")</f>
        <v>—</v>
      </c>
      <c r="H13" s="16" t="str">
        <f aca="false">IFERROR(INDEX('Matris Gerekçeleri'!$F$5:$F$84,MATCH($A13&amp;"|"&amp;H$3,'Matris Gerekçeleri'!$A$5:$A$84,0)),"—")</f>
        <v>—</v>
      </c>
      <c r="I13" s="16" t="str">
        <f aca="false">IFERROR(INDEX('Matris Gerekçeleri'!$F$5:$F$84,MATCH($A13&amp;"|"&amp;I$3,'Matris Gerekçeleri'!$A$5:$A$84,0)),"—")</f>
        <v>—</v>
      </c>
      <c r="J13" s="16" t="str">
        <f aca="false">IFERROR(INDEX('Matris Gerekçeleri'!$F$5:$F$84,MATCH($A13&amp;"|"&amp;J$3,'Matris Gerekçeleri'!$A$5:$A$84,0)),"—")</f>
        <v>—</v>
      </c>
      <c r="K13" s="16" t="str">
        <f aca="false">IFERROR(INDEX('Matris Gerekçeleri'!$F$5:$F$84,MATCH($A13&amp;"|"&amp;K$3,'Matris Gerekçeleri'!$A$5:$A$84,0)),"—")</f>
        <v>—</v>
      </c>
      <c r="L13" s="16" t="str">
        <f aca="false">IFERROR(INDEX('Matris Gerekçeleri'!$F$5:$F$84,MATCH($A13&amp;"|"&amp;L$3,'Matris Gerekçeleri'!$A$5:$A$84,0)),"—")</f>
        <v>—</v>
      </c>
      <c r="M13" s="16" t="str">
        <f aca="false">IFERROR(INDEX('Matris Gerekçeleri'!$F$5:$F$84,MATCH($A13&amp;"|"&amp;M$3,'Matris Gerekçeleri'!$A$5:$A$84,0)),"—")</f>
        <v>—</v>
      </c>
      <c r="N13" s="16" t="str">
        <f aca="false">IFERROR(INDEX('Matris Gerekçeleri'!$F$5:$F$84,MATCH($A13&amp;"|"&amp;N$3,'Matris Gerekçeleri'!$A$5:$A$84,0)),"—")</f>
        <v>—</v>
      </c>
      <c r="O13" s="16" t="str">
        <f aca="false">IFERROR(INDEX('Matris Gerekçeleri'!$F$5:$F$84,MATCH($A13&amp;"|"&amp;O$3,'Matris Gerekçeleri'!$A$5:$A$84,0)),"—")</f>
        <v>—</v>
      </c>
      <c r="P13" s="16" t="str">
        <f aca="false">IFERROR(INDEX('Matris Gerekçeleri'!$F$5:$F$84,MATCH($A13&amp;"|"&amp;P$3,'Matris Gerekçeleri'!$A$5:$A$84,0)),"—")</f>
        <v>✖</v>
      </c>
      <c r="Q13" s="16" t="str">
        <f aca="false">IFERROR(INDEX('Matris Gerekçeleri'!$F$5:$F$84,MATCH($A13&amp;"|"&amp;Q$3,'Matris Gerekçeleri'!$A$5:$A$84,0)),"—")</f>
        <v>—</v>
      </c>
    </row>
    <row r="14" customFormat="false" ht="15" hidden="false" customHeight="false" outlineLevel="0" collapsed="false">
      <c r="A14" s="4" t="s">
        <v>842</v>
      </c>
      <c r="B14" s="4" t="s">
        <v>843</v>
      </c>
      <c r="C14" s="16" t="str">
        <f aca="false">IFERROR(INDEX('Matris Gerekçeleri'!$F$5:$F$84,MATCH($A14&amp;"|"&amp;C$3,'Matris Gerekçeleri'!$A$5:$A$84,0)),"—")</f>
        <v>—</v>
      </c>
      <c r="D14" s="16" t="str">
        <f aca="false">IFERROR(INDEX('Matris Gerekçeleri'!$F$5:$F$84,MATCH($A14&amp;"|"&amp;D$3,'Matris Gerekçeleri'!$A$5:$A$84,0)),"—")</f>
        <v>◐</v>
      </c>
      <c r="E14" s="16" t="str">
        <f aca="false">IFERROR(INDEX('Matris Gerekçeleri'!$F$5:$F$84,MATCH($A14&amp;"|"&amp;E$3,'Matris Gerekçeleri'!$A$5:$A$84,0)),"—")</f>
        <v>—</v>
      </c>
      <c r="F14" s="16" t="str">
        <f aca="false">IFERROR(INDEX('Matris Gerekçeleri'!$F$5:$F$84,MATCH($A14&amp;"|"&amp;F$3,'Matris Gerekçeleri'!$A$5:$A$84,0)),"—")</f>
        <v>—</v>
      </c>
      <c r="G14" s="16" t="str">
        <f aca="false">IFERROR(INDEX('Matris Gerekçeleri'!$F$5:$F$84,MATCH($A14&amp;"|"&amp;G$3,'Matris Gerekçeleri'!$A$5:$A$84,0)),"—")</f>
        <v>—</v>
      </c>
      <c r="H14" s="16" t="str">
        <f aca="false">IFERROR(INDEX('Matris Gerekçeleri'!$F$5:$F$84,MATCH($A14&amp;"|"&amp;H$3,'Matris Gerekçeleri'!$A$5:$A$84,0)),"—")</f>
        <v>—</v>
      </c>
      <c r="I14" s="16" t="str">
        <f aca="false">IFERROR(INDEX('Matris Gerekçeleri'!$F$5:$F$84,MATCH($A14&amp;"|"&amp;I$3,'Matris Gerekçeleri'!$A$5:$A$84,0)),"—")</f>
        <v>—</v>
      </c>
      <c r="J14" s="16" t="str">
        <f aca="false">IFERROR(INDEX('Matris Gerekçeleri'!$F$5:$F$84,MATCH($A14&amp;"|"&amp;J$3,'Matris Gerekçeleri'!$A$5:$A$84,0)),"—")</f>
        <v>—</v>
      </c>
      <c r="K14" s="16" t="str">
        <f aca="false">IFERROR(INDEX('Matris Gerekçeleri'!$F$5:$F$84,MATCH($A14&amp;"|"&amp;K$3,'Matris Gerekçeleri'!$A$5:$A$84,0)),"—")</f>
        <v>—</v>
      </c>
      <c r="L14" s="16" t="str">
        <f aca="false">IFERROR(INDEX('Matris Gerekçeleri'!$F$5:$F$84,MATCH($A14&amp;"|"&amp;L$3,'Matris Gerekçeleri'!$A$5:$A$84,0)),"—")</f>
        <v>—</v>
      </c>
      <c r="M14" s="16" t="str">
        <f aca="false">IFERROR(INDEX('Matris Gerekçeleri'!$F$5:$F$84,MATCH($A14&amp;"|"&amp;M$3,'Matris Gerekçeleri'!$A$5:$A$84,0)),"—")</f>
        <v>—</v>
      </c>
      <c r="N14" s="16" t="str">
        <f aca="false">IFERROR(INDEX('Matris Gerekçeleri'!$F$5:$F$84,MATCH($A14&amp;"|"&amp;N$3,'Matris Gerekçeleri'!$A$5:$A$84,0)),"—")</f>
        <v>—</v>
      </c>
      <c r="O14" s="16" t="str">
        <f aca="false">IFERROR(INDEX('Matris Gerekçeleri'!$F$5:$F$84,MATCH($A14&amp;"|"&amp;O$3,'Matris Gerekçeleri'!$A$5:$A$84,0)),"—")</f>
        <v>✔</v>
      </c>
      <c r="P14" s="16" t="str">
        <f aca="false">IFERROR(INDEX('Matris Gerekçeleri'!$F$5:$F$84,MATCH($A14&amp;"|"&amp;P$3,'Matris Gerekçeleri'!$A$5:$A$84,0)),"—")</f>
        <v>—</v>
      </c>
      <c r="Q14" s="16" t="str">
        <f aca="false">IFERROR(INDEX('Matris Gerekçeleri'!$F$5:$F$84,MATCH($A14&amp;"|"&amp;Q$3,'Matris Gerekçeleri'!$A$5:$A$84,0)),"—")</f>
        <v>—</v>
      </c>
    </row>
    <row r="15" customFormat="false" ht="15" hidden="false" customHeight="false" outlineLevel="0" collapsed="false">
      <c r="A15" s="4" t="s">
        <v>844</v>
      </c>
      <c r="B15" s="4" t="s">
        <v>845</v>
      </c>
      <c r="C15" s="16" t="str">
        <f aca="false">IFERROR(INDEX('Matris Gerekçeleri'!$F$5:$F$84,MATCH($A15&amp;"|"&amp;C$3,'Matris Gerekçeleri'!$A$5:$A$84,0)),"—")</f>
        <v>—</v>
      </c>
      <c r="D15" s="16" t="str">
        <f aca="false">IFERROR(INDEX('Matris Gerekçeleri'!$F$5:$F$84,MATCH($A15&amp;"|"&amp;D$3,'Matris Gerekçeleri'!$A$5:$A$84,0)),"—")</f>
        <v>◐</v>
      </c>
      <c r="E15" s="16" t="str">
        <f aca="false">IFERROR(INDEX('Matris Gerekçeleri'!$F$5:$F$84,MATCH($A15&amp;"|"&amp;E$3,'Matris Gerekçeleri'!$A$5:$A$84,0)),"—")</f>
        <v>—</v>
      </c>
      <c r="F15" s="16" t="str">
        <f aca="false">IFERROR(INDEX('Matris Gerekçeleri'!$F$5:$F$84,MATCH($A15&amp;"|"&amp;F$3,'Matris Gerekçeleri'!$A$5:$A$84,0)),"—")</f>
        <v>—</v>
      </c>
      <c r="G15" s="16" t="str">
        <f aca="false">IFERROR(INDEX('Matris Gerekçeleri'!$F$5:$F$84,MATCH($A15&amp;"|"&amp;G$3,'Matris Gerekçeleri'!$A$5:$A$84,0)),"—")</f>
        <v>—</v>
      </c>
      <c r="H15" s="16" t="str">
        <f aca="false">IFERROR(INDEX('Matris Gerekçeleri'!$F$5:$F$84,MATCH($A15&amp;"|"&amp;H$3,'Matris Gerekçeleri'!$A$5:$A$84,0)),"—")</f>
        <v>—</v>
      </c>
      <c r="I15" s="16" t="str">
        <f aca="false">IFERROR(INDEX('Matris Gerekçeleri'!$F$5:$F$84,MATCH($A15&amp;"|"&amp;I$3,'Matris Gerekçeleri'!$A$5:$A$84,0)),"—")</f>
        <v>—</v>
      </c>
      <c r="J15" s="16" t="str">
        <f aca="false">IFERROR(INDEX('Matris Gerekçeleri'!$F$5:$F$84,MATCH($A15&amp;"|"&amp;J$3,'Matris Gerekçeleri'!$A$5:$A$84,0)),"—")</f>
        <v>—</v>
      </c>
      <c r="K15" s="16" t="str">
        <f aca="false">IFERROR(INDEX('Matris Gerekçeleri'!$F$5:$F$84,MATCH($A15&amp;"|"&amp;K$3,'Matris Gerekçeleri'!$A$5:$A$84,0)),"—")</f>
        <v>—</v>
      </c>
      <c r="L15" s="16" t="str">
        <f aca="false">IFERROR(INDEX('Matris Gerekçeleri'!$F$5:$F$84,MATCH($A15&amp;"|"&amp;L$3,'Matris Gerekçeleri'!$A$5:$A$84,0)),"—")</f>
        <v>—</v>
      </c>
      <c r="M15" s="16" t="str">
        <f aca="false">IFERROR(INDEX('Matris Gerekçeleri'!$F$5:$F$84,MATCH($A15&amp;"|"&amp;M$3,'Matris Gerekçeleri'!$A$5:$A$84,0)),"—")</f>
        <v>—</v>
      </c>
      <c r="N15" s="16" t="str">
        <f aca="false">IFERROR(INDEX('Matris Gerekçeleri'!$F$5:$F$84,MATCH($A15&amp;"|"&amp;N$3,'Matris Gerekçeleri'!$A$5:$A$84,0)),"—")</f>
        <v>—</v>
      </c>
      <c r="O15" s="16" t="str">
        <f aca="false">IFERROR(INDEX('Matris Gerekçeleri'!$F$5:$F$84,MATCH($A15&amp;"|"&amp;O$3,'Matris Gerekçeleri'!$A$5:$A$84,0)),"—")</f>
        <v>✔</v>
      </c>
      <c r="P15" s="16" t="str">
        <f aca="false">IFERROR(INDEX('Matris Gerekçeleri'!$F$5:$F$84,MATCH($A15&amp;"|"&amp;P$3,'Matris Gerekçeleri'!$A$5:$A$84,0)),"—")</f>
        <v>✔</v>
      </c>
      <c r="Q15" s="16" t="str">
        <f aca="false">IFERROR(INDEX('Matris Gerekçeleri'!$F$5:$F$84,MATCH($A15&amp;"|"&amp;Q$3,'Matris Gerekçeleri'!$A$5:$A$84,0)),"—")</f>
        <v>—</v>
      </c>
    </row>
    <row r="16" customFormat="false" ht="15" hidden="false" customHeight="false" outlineLevel="0" collapsed="false">
      <c r="A16" s="4" t="s">
        <v>846</v>
      </c>
      <c r="B16" s="4" t="s">
        <v>847</v>
      </c>
      <c r="C16" s="16" t="str">
        <f aca="false">IFERROR(INDEX('Matris Gerekçeleri'!$F$5:$F$84,MATCH($A16&amp;"|"&amp;C$3,'Matris Gerekçeleri'!$A$5:$A$84,0)),"—")</f>
        <v>—</v>
      </c>
      <c r="D16" s="16" t="str">
        <f aca="false">IFERROR(INDEX('Matris Gerekçeleri'!$F$5:$F$84,MATCH($A16&amp;"|"&amp;D$3,'Matris Gerekçeleri'!$A$5:$A$84,0)),"—")</f>
        <v>◐</v>
      </c>
      <c r="E16" s="16" t="str">
        <f aca="false">IFERROR(INDEX('Matris Gerekçeleri'!$F$5:$F$84,MATCH($A16&amp;"|"&amp;E$3,'Matris Gerekçeleri'!$A$5:$A$84,0)),"—")</f>
        <v>—</v>
      </c>
      <c r="F16" s="16" t="str">
        <f aca="false">IFERROR(INDEX('Matris Gerekçeleri'!$F$5:$F$84,MATCH($A16&amp;"|"&amp;F$3,'Matris Gerekçeleri'!$A$5:$A$84,0)),"—")</f>
        <v>—</v>
      </c>
      <c r="G16" s="16" t="str">
        <f aca="false">IFERROR(INDEX('Matris Gerekçeleri'!$F$5:$F$84,MATCH($A16&amp;"|"&amp;G$3,'Matris Gerekçeleri'!$A$5:$A$84,0)),"—")</f>
        <v>—</v>
      </c>
      <c r="H16" s="16" t="str">
        <f aca="false">IFERROR(INDEX('Matris Gerekçeleri'!$F$5:$F$84,MATCH($A16&amp;"|"&amp;H$3,'Matris Gerekçeleri'!$A$5:$A$84,0)),"—")</f>
        <v>—</v>
      </c>
      <c r="I16" s="16" t="str">
        <f aca="false">IFERROR(INDEX('Matris Gerekçeleri'!$F$5:$F$84,MATCH($A16&amp;"|"&amp;I$3,'Matris Gerekçeleri'!$A$5:$A$84,0)),"—")</f>
        <v>—</v>
      </c>
      <c r="J16" s="16" t="str">
        <f aca="false">IFERROR(INDEX('Matris Gerekçeleri'!$F$5:$F$84,MATCH($A16&amp;"|"&amp;J$3,'Matris Gerekçeleri'!$A$5:$A$84,0)),"—")</f>
        <v>—</v>
      </c>
      <c r="K16" s="16" t="str">
        <f aca="false">IFERROR(INDEX('Matris Gerekçeleri'!$F$5:$F$84,MATCH($A16&amp;"|"&amp;K$3,'Matris Gerekçeleri'!$A$5:$A$84,0)),"—")</f>
        <v>—</v>
      </c>
      <c r="L16" s="16" t="str">
        <f aca="false">IFERROR(INDEX('Matris Gerekçeleri'!$F$5:$F$84,MATCH($A16&amp;"|"&amp;L$3,'Matris Gerekçeleri'!$A$5:$A$84,0)),"—")</f>
        <v>—</v>
      </c>
      <c r="M16" s="16" t="str">
        <f aca="false">IFERROR(INDEX('Matris Gerekçeleri'!$F$5:$F$84,MATCH($A16&amp;"|"&amp;M$3,'Matris Gerekçeleri'!$A$5:$A$84,0)),"—")</f>
        <v>—</v>
      </c>
      <c r="N16" s="16" t="str">
        <f aca="false">IFERROR(INDEX('Matris Gerekçeleri'!$F$5:$F$84,MATCH($A16&amp;"|"&amp;N$3,'Matris Gerekçeleri'!$A$5:$A$84,0)),"—")</f>
        <v>—</v>
      </c>
      <c r="O16" s="16" t="str">
        <f aca="false">IFERROR(INDEX('Matris Gerekçeleri'!$F$5:$F$84,MATCH($A16&amp;"|"&amp;O$3,'Matris Gerekçeleri'!$A$5:$A$84,0)),"—")</f>
        <v>✔</v>
      </c>
      <c r="P16" s="16" t="str">
        <f aca="false">IFERROR(INDEX('Matris Gerekçeleri'!$F$5:$F$84,MATCH($A16&amp;"|"&amp;P$3,'Matris Gerekçeleri'!$A$5:$A$84,0)),"—")</f>
        <v>—</v>
      </c>
      <c r="Q16" s="16" t="str">
        <f aca="false">IFERROR(INDEX('Matris Gerekçeleri'!$F$5:$F$84,MATCH($A16&amp;"|"&amp;Q$3,'Matris Gerekçeleri'!$A$5:$A$84,0)),"—")</f>
        <v>—</v>
      </c>
    </row>
    <row r="17" customFormat="false" ht="15" hidden="false" customHeight="false" outlineLevel="0" collapsed="false">
      <c r="A17" s="4" t="s">
        <v>848</v>
      </c>
      <c r="B17" s="4" t="s">
        <v>849</v>
      </c>
      <c r="C17" s="16" t="str">
        <f aca="false">IFERROR(INDEX('Matris Gerekçeleri'!$F$5:$F$84,MATCH($A17&amp;"|"&amp;C$3,'Matris Gerekçeleri'!$A$5:$A$84,0)),"—")</f>
        <v>—</v>
      </c>
      <c r="D17" s="16" t="str">
        <f aca="false">IFERROR(INDEX('Matris Gerekçeleri'!$F$5:$F$84,MATCH($A17&amp;"|"&amp;D$3,'Matris Gerekçeleri'!$A$5:$A$84,0)),"—")</f>
        <v>—</v>
      </c>
      <c r="E17" s="16" t="str">
        <f aca="false">IFERROR(INDEX('Matris Gerekçeleri'!$F$5:$F$84,MATCH($A17&amp;"|"&amp;E$3,'Matris Gerekçeleri'!$A$5:$A$84,0)),"—")</f>
        <v>—</v>
      </c>
      <c r="F17" s="16" t="str">
        <f aca="false">IFERROR(INDEX('Matris Gerekçeleri'!$F$5:$F$84,MATCH($A17&amp;"|"&amp;F$3,'Matris Gerekçeleri'!$A$5:$A$84,0)),"—")</f>
        <v>—</v>
      </c>
      <c r="G17" s="16" t="str">
        <f aca="false">IFERROR(INDEX('Matris Gerekçeleri'!$F$5:$F$84,MATCH($A17&amp;"|"&amp;G$3,'Matris Gerekçeleri'!$A$5:$A$84,0)),"—")</f>
        <v>◐</v>
      </c>
      <c r="H17" s="16" t="str">
        <f aca="false">IFERROR(INDEX('Matris Gerekçeleri'!$F$5:$F$84,MATCH($A17&amp;"|"&amp;H$3,'Matris Gerekçeleri'!$A$5:$A$84,0)),"—")</f>
        <v>◐</v>
      </c>
      <c r="I17" s="16" t="str">
        <f aca="false">IFERROR(INDEX('Matris Gerekçeleri'!$F$5:$F$84,MATCH($A17&amp;"|"&amp;I$3,'Matris Gerekçeleri'!$A$5:$A$84,0)),"—")</f>
        <v>✔</v>
      </c>
      <c r="J17" s="16" t="str">
        <f aca="false">IFERROR(INDEX('Matris Gerekçeleri'!$F$5:$F$84,MATCH($A17&amp;"|"&amp;J$3,'Matris Gerekçeleri'!$A$5:$A$84,0)),"—")</f>
        <v>—</v>
      </c>
      <c r="K17" s="16" t="str">
        <f aca="false">IFERROR(INDEX('Matris Gerekçeleri'!$F$5:$F$84,MATCH($A17&amp;"|"&amp;K$3,'Matris Gerekçeleri'!$A$5:$A$84,0)),"—")</f>
        <v>—</v>
      </c>
      <c r="L17" s="16" t="str">
        <f aca="false">IFERROR(INDEX('Matris Gerekçeleri'!$F$5:$F$84,MATCH($A17&amp;"|"&amp;L$3,'Matris Gerekçeleri'!$A$5:$A$84,0)),"—")</f>
        <v>—</v>
      </c>
      <c r="M17" s="16" t="str">
        <f aca="false">IFERROR(INDEX('Matris Gerekçeleri'!$F$5:$F$84,MATCH($A17&amp;"|"&amp;M$3,'Matris Gerekçeleri'!$A$5:$A$84,0)),"—")</f>
        <v>—</v>
      </c>
      <c r="N17" s="16" t="str">
        <f aca="false">IFERROR(INDEX('Matris Gerekçeleri'!$F$5:$F$84,MATCH($A17&amp;"|"&amp;N$3,'Matris Gerekçeleri'!$A$5:$A$84,0)),"—")</f>
        <v>—</v>
      </c>
      <c r="O17" s="16" t="str">
        <f aca="false">IFERROR(INDEX('Matris Gerekçeleri'!$F$5:$F$84,MATCH($A17&amp;"|"&amp;O$3,'Matris Gerekçeleri'!$A$5:$A$84,0)),"—")</f>
        <v>—</v>
      </c>
      <c r="P17" s="16" t="str">
        <f aca="false">IFERROR(INDEX('Matris Gerekçeleri'!$F$5:$F$84,MATCH($A17&amp;"|"&amp;P$3,'Matris Gerekçeleri'!$A$5:$A$84,0)),"—")</f>
        <v>—</v>
      </c>
      <c r="Q17" s="16" t="str">
        <f aca="false">IFERROR(INDEX('Matris Gerekçeleri'!$F$5:$F$84,MATCH($A17&amp;"|"&amp;Q$3,'Matris Gerekçeleri'!$A$5:$A$84,0)),"—")</f>
        <v>—</v>
      </c>
    </row>
    <row r="18" customFormat="false" ht="15" hidden="false" customHeight="false" outlineLevel="0" collapsed="false">
      <c r="A18" s="4" t="s">
        <v>850</v>
      </c>
      <c r="B18" s="4" t="s">
        <v>851</v>
      </c>
      <c r="C18" s="16" t="str">
        <f aca="false">IFERROR(INDEX('Matris Gerekçeleri'!$F$5:$F$84,MATCH($A18&amp;"|"&amp;C$3,'Matris Gerekçeleri'!$A$5:$A$84,0)),"—")</f>
        <v>—</v>
      </c>
      <c r="D18" s="16" t="str">
        <f aca="false">IFERROR(INDEX('Matris Gerekçeleri'!$F$5:$F$84,MATCH($A18&amp;"|"&amp;D$3,'Matris Gerekçeleri'!$A$5:$A$84,0)),"—")</f>
        <v>◐</v>
      </c>
      <c r="E18" s="16" t="str">
        <f aca="false">IFERROR(INDEX('Matris Gerekçeleri'!$F$5:$F$84,MATCH($A18&amp;"|"&amp;E$3,'Matris Gerekçeleri'!$A$5:$A$84,0)),"—")</f>
        <v>—</v>
      </c>
      <c r="F18" s="16" t="str">
        <f aca="false">IFERROR(INDEX('Matris Gerekçeleri'!$F$5:$F$84,MATCH($A18&amp;"|"&amp;F$3,'Matris Gerekçeleri'!$A$5:$A$84,0)),"—")</f>
        <v>—</v>
      </c>
      <c r="G18" s="16" t="str">
        <f aca="false">IFERROR(INDEX('Matris Gerekçeleri'!$F$5:$F$84,MATCH($A18&amp;"|"&amp;G$3,'Matris Gerekçeleri'!$A$5:$A$84,0)),"—")</f>
        <v>—</v>
      </c>
      <c r="H18" s="16" t="str">
        <f aca="false">IFERROR(INDEX('Matris Gerekçeleri'!$F$5:$F$84,MATCH($A18&amp;"|"&amp;H$3,'Matris Gerekçeleri'!$A$5:$A$84,0)),"—")</f>
        <v>◐</v>
      </c>
      <c r="I18" s="16" t="str">
        <f aca="false">IFERROR(INDEX('Matris Gerekçeleri'!$F$5:$F$84,MATCH($A18&amp;"|"&amp;I$3,'Matris Gerekçeleri'!$A$5:$A$84,0)),"—")</f>
        <v>✔</v>
      </c>
      <c r="J18" s="16" t="str">
        <f aca="false">IFERROR(INDEX('Matris Gerekçeleri'!$F$5:$F$84,MATCH($A18&amp;"|"&amp;J$3,'Matris Gerekçeleri'!$A$5:$A$84,0)),"—")</f>
        <v>✔</v>
      </c>
      <c r="K18" s="16" t="str">
        <f aca="false">IFERROR(INDEX('Matris Gerekçeleri'!$F$5:$F$84,MATCH($A18&amp;"|"&amp;K$3,'Matris Gerekçeleri'!$A$5:$A$84,0)),"—")</f>
        <v>—</v>
      </c>
      <c r="L18" s="16" t="str">
        <f aca="false">IFERROR(INDEX('Matris Gerekçeleri'!$F$5:$F$84,MATCH($A18&amp;"|"&amp;L$3,'Matris Gerekçeleri'!$A$5:$A$84,0)),"—")</f>
        <v>—</v>
      </c>
      <c r="M18" s="16" t="str">
        <f aca="false">IFERROR(INDEX('Matris Gerekçeleri'!$F$5:$F$84,MATCH($A18&amp;"|"&amp;M$3,'Matris Gerekçeleri'!$A$5:$A$84,0)),"—")</f>
        <v>—</v>
      </c>
      <c r="N18" s="16" t="str">
        <f aca="false">IFERROR(INDEX('Matris Gerekçeleri'!$F$5:$F$84,MATCH($A18&amp;"|"&amp;N$3,'Matris Gerekçeleri'!$A$5:$A$84,0)),"—")</f>
        <v>—</v>
      </c>
      <c r="O18" s="16" t="str">
        <f aca="false">IFERROR(INDEX('Matris Gerekçeleri'!$F$5:$F$84,MATCH($A18&amp;"|"&amp;O$3,'Matris Gerekçeleri'!$A$5:$A$84,0)),"—")</f>
        <v>—</v>
      </c>
      <c r="P18" s="16" t="str">
        <f aca="false">IFERROR(INDEX('Matris Gerekçeleri'!$F$5:$F$84,MATCH($A18&amp;"|"&amp;P$3,'Matris Gerekçeleri'!$A$5:$A$84,0)),"—")</f>
        <v>—</v>
      </c>
      <c r="Q18" s="16" t="str">
        <f aca="false">IFERROR(INDEX('Matris Gerekçeleri'!$F$5:$F$84,MATCH($A18&amp;"|"&amp;Q$3,'Matris Gerekçeleri'!$A$5:$A$84,0)),"—")</f>
        <v>—</v>
      </c>
    </row>
    <row r="19" customFormat="false" ht="15" hidden="false" customHeight="false" outlineLevel="0" collapsed="false">
      <c r="A19" s="4" t="s">
        <v>852</v>
      </c>
      <c r="B19" s="4" t="s">
        <v>853</v>
      </c>
      <c r="C19" s="16" t="str">
        <f aca="false">IFERROR(INDEX('Matris Gerekçeleri'!$F$5:$F$84,MATCH($A19&amp;"|"&amp;C$3,'Matris Gerekçeleri'!$A$5:$A$84,0)),"—")</f>
        <v>—</v>
      </c>
      <c r="D19" s="16" t="str">
        <f aca="false">IFERROR(INDEX('Matris Gerekçeleri'!$F$5:$F$84,MATCH($A19&amp;"|"&amp;D$3,'Matris Gerekçeleri'!$A$5:$A$84,0)),"—")</f>
        <v>◐</v>
      </c>
      <c r="E19" s="16" t="str">
        <f aca="false">IFERROR(INDEX('Matris Gerekçeleri'!$F$5:$F$84,MATCH($A19&amp;"|"&amp;E$3,'Matris Gerekçeleri'!$A$5:$A$84,0)),"—")</f>
        <v>—</v>
      </c>
      <c r="F19" s="16" t="str">
        <f aca="false">IFERROR(INDEX('Matris Gerekçeleri'!$F$5:$F$84,MATCH($A19&amp;"|"&amp;F$3,'Matris Gerekçeleri'!$A$5:$A$84,0)),"—")</f>
        <v>—</v>
      </c>
      <c r="G19" s="16" t="str">
        <f aca="false">IFERROR(INDEX('Matris Gerekçeleri'!$F$5:$F$84,MATCH($A19&amp;"|"&amp;G$3,'Matris Gerekçeleri'!$A$5:$A$84,0)),"—")</f>
        <v>—</v>
      </c>
      <c r="H19" s="16" t="str">
        <f aca="false">IFERROR(INDEX('Matris Gerekçeleri'!$F$5:$F$84,MATCH($A19&amp;"|"&amp;H$3,'Matris Gerekçeleri'!$A$5:$A$84,0)),"—")</f>
        <v>✔</v>
      </c>
      <c r="I19" s="16" t="str">
        <f aca="false">IFERROR(INDEX('Matris Gerekçeleri'!$F$5:$F$84,MATCH($A19&amp;"|"&amp;I$3,'Matris Gerekçeleri'!$A$5:$A$84,0)),"—")</f>
        <v>✔</v>
      </c>
      <c r="J19" s="16" t="str">
        <f aca="false">IFERROR(INDEX('Matris Gerekçeleri'!$F$5:$F$84,MATCH($A19&amp;"|"&amp;J$3,'Matris Gerekçeleri'!$A$5:$A$84,0)),"—")</f>
        <v>✔</v>
      </c>
      <c r="K19" s="16" t="str">
        <f aca="false">IFERROR(INDEX('Matris Gerekçeleri'!$F$5:$F$84,MATCH($A19&amp;"|"&amp;K$3,'Matris Gerekçeleri'!$A$5:$A$84,0)),"—")</f>
        <v>◐</v>
      </c>
      <c r="L19" s="16" t="str">
        <f aca="false">IFERROR(INDEX('Matris Gerekçeleri'!$F$5:$F$84,MATCH($A19&amp;"|"&amp;L$3,'Matris Gerekçeleri'!$A$5:$A$84,0)),"—")</f>
        <v>◐</v>
      </c>
      <c r="M19" s="16" t="str">
        <f aca="false">IFERROR(INDEX('Matris Gerekçeleri'!$F$5:$F$84,MATCH($A19&amp;"|"&amp;M$3,'Matris Gerekçeleri'!$A$5:$A$84,0)),"—")</f>
        <v>—</v>
      </c>
      <c r="N19" s="16" t="str">
        <f aca="false">IFERROR(INDEX('Matris Gerekçeleri'!$F$5:$F$84,MATCH($A19&amp;"|"&amp;N$3,'Matris Gerekçeleri'!$A$5:$A$84,0)),"—")</f>
        <v>—</v>
      </c>
      <c r="O19" s="16" t="str">
        <f aca="false">IFERROR(INDEX('Matris Gerekçeleri'!$F$5:$F$84,MATCH($A19&amp;"|"&amp;O$3,'Matris Gerekçeleri'!$A$5:$A$84,0)),"—")</f>
        <v>—</v>
      </c>
      <c r="P19" s="16" t="str">
        <f aca="false">IFERROR(INDEX('Matris Gerekçeleri'!$F$5:$F$84,MATCH($A19&amp;"|"&amp;P$3,'Matris Gerekçeleri'!$A$5:$A$84,0)),"—")</f>
        <v>—</v>
      </c>
      <c r="Q19" s="16" t="str">
        <f aca="false">IFERROR(INDEX('Matris Gerekçeleri'!$F$5:$F$84,MATCH($A19&amp;"|"&amp;Q$3,'Matris Gerekçeleri'!$A$5:$A$84,0)),"—")</f>
        <v>—</v>
      </c>
    </row>
    <row r="20" customFormat="false" ht="15" hidden="false" customHeight="false" outlineLevel="0" collapsed="false">
      <c r="A20" s="4" t="s">
        <v>854</v>
      </c>
      <c r="B20" s="4" t="s">
        <v>855</v>
      </c>
      <c r="C20" s="16" t="str">
        <f aca="false">IFERROR(INDEX('Matris Gerekçeleri'!$F$5:$F$84,MATCH($A20&amp;"|"&amp;C$3,'Matris Gerekçeleri'!$A$5:$A$84,0)),"—")</f>
        <v>—</v>
      </c>
      <c r="D20" s="16" t="str">
        <f aca="false">IFERROR(INDEX('Matris Gerekçeleri'!$F$5:$F$84,MATCH($A20&amp;"|"&amp;D$3,'Matris Gerekçeleri'!$A$5:$A$84,0)),"—")</f>
        <v>—</v>
      </c>
      <c r="E20" s="16" t="str">
        <f aca="false">IFERROR(INDEX('Matris Gerekçeleri'!$F$5:$F$84,MATCH($A20&amp;"|"&amp;E$3,'Matris Gerekçeleri'!$A$5:$A$84,0)),"—")</f>
        <v>—</v>
      </c>
      <c r="F20" s="16" t="str">
        <f aca="false">IFERROR(INDEX('Matris Gerekçeleri'!$F$5:$F$84,MATCH($A20&amp;"|"&amp;F$3,'Matris Gerekçeleri'!$A$5:$A$84,0)),"—")</f>
        <v>—</v>
      </c>
      <c r="G20" s="16" t="str">
        <f aca="false">IFERROR(INDEX('Matris Gerekçeleri'!$F$5:$F$84,MATCH($A20&amp;"|"&amp;G$3,'Matris Gerekçeleri'!$A$5:$A$84,0)),"—")</f>
        <v>—</v>
      </c>
      <c r="H20" s="16" t="str">
        <f aca="false">IFERROR(INDEX('Matris Gerekçeleri'!$F$5:$F$84,MATCH($A20&amp;"|"&amp;H$3,'Matris Gerekçeleri'!$A$5:$A$84,0)),"—")</f>
        <v>✔</v>
      </c>
      <c r="I20" s="16" t="str">
        <f aca="false">IFERROR(INDEX('Matris Gerekçeleri'!$F$5:$F$84,MATCH($A20&amp;"|"&amp;I$3,'Matris Gerekçeleri'!$A$5:$A$84,0)),"—")</f>
        <v>✔</v>
      </c>
      <c r="J20" s="16" t="str">
        <f aca="false">IFERROR(INDEX('Matris Gerekçeleri'!$F$5:$F$84,MATCH($A20&amp;"|"&amp;J$3,'Matris Gerekçeleri'!$A$5:$A$84,0)),"—")</f>
        <v>—</v>
      </c>
      <c r="K20" s="16" t="str">
        <f aca="false">IFERROR(INDEX('Matris Gerekçeleri'!$F$5:$F$84,MATCH($A20&amp;"|"&amp;K$3,'Matris Gerekçeleri'!$A$5:$A$84,0)),"—")</f>
        <v>—</v>
      </c>
      <c r="L20" s="16" t="str">
        <f aca="false">IFERROR(INDEX('Matris Gerekçeleri'!$F$5:$F$84,MATCH($A20&amp;"|"&amp;L$3,'Matris Gerekçeleri'!$A$5:$A$84,0)),"—")</f>
        <v>—</v>
      </c>
      <c r="M20" s="16" t="str">
        <f aca="false">IFERROR(INDEX('Matris Gerekçeleri'!$F$5:$F$84,MATCH($A20&amp;"|"&amp;M$3,'Matris Gerekçeleri'!$A$5:$A$84,0)),"—")</f>
        <v>—</v>
      </c>
      <c r="N20" s="16" t="str">
        <f aca="false">IFERROR(INDEX('Matris Gerekçeleri'!$F$5:$F$84,MATCH($A20&amp;"|"&amp;N$3,'Matris Gerekçeleri'!$A$5:$A$84,0)),"—")</f>
        <v>—</v>
      </c>
      <c r="O20" s="16" t="str">
        <f aca="false">IFERROR(INDEX('Matris Gerekçeleri'!$F$5:$F$84,MATCH($A20&amp;"|"&amp;O$3,'Matris Gerekçeleri'!$A$5:$A$84,0)),"—")</f>
        <v>—</v>
      </c>
      <c r="P20" s="16" t="str">
        <f aca="false">IFERROR(INDEX('Matris Gerekçeleri'!$F$5:$F$84,MATCH($A20&amp;"|"&amp;P$3,'Matris Gerekçeleri'!$A$5:$A$84,0)),"—")</f>
        <v>◐</v>
      </c>
      <c r="Q20" s="16" t="str">
        <f aca="false">IFERROR(INDEX('Matris Gerekçeleri'!$F$5:$F$84,MATCH($A20&amp;"|"&amp;Q$3,'Matris Gerekçeleri'!$A$5:$A$84,0)),"—")</f>
        <v>—</v>
      </c>
    </row>
    <row r="21" customFormat="false" ht="15" hidden="false" customHeight="false" outlineLevel="0" collapsed="false">
      <c r="A21" s="4" t="s">
        <v>856</v>
      </c>
      <c r="B21" s="4" t="s">
        <v>857</v>
      </c>
      <c r="C21" s="16" t="str">
        <f aca="false">IFERROR(INDEX('Matris Gerekçeleri'!$F$5:$F$84,MATCH($A21&amp;"|"&amp;C$3,'Matris Gerekçeleri'!$A$5:$A$84,0)),"—")</f>
        <v>—</v>
      </c>
      <c r="D21" s="16" t="str">
        <f aca="false">IFERROR(INDEX('Matris Gerekçeleri'!$F$5:$F$84,MATCH($A21&amp;"|"&amp;D$3,'Matris Gerekçeleri'!$A$5:$A$84,0)),"—")</f>
        <v>—</v>
      </c>
      <c r="E21" s="16" t="str">
        <f aca="false">IFERROR(INDEX('Matris Gerekçeleri'!$F$5:$F$84,MATCH($A21&amp;"|"&amp;E$3,'Matris Gerekçeleri'!$A$5:$A$84,0)),"—")</f>
        <v>—</v>
      </c>
      <c r="F21" s="16" t="str">
        <f aca="false">IFERROR(INDEX('Matris Gerekçeleri'!$F$5:$F$84,MATCH($A21&amp;"|"&amp;F$3,'Matris Gerekçeleri'!$A$5:$A$84,0)),"—")</f>
        <v>—</v>
      </c>
      <c r="G21" s="16" t="str">
        <f aca="false">IFERROR(INDEX('Matris Gerekçeleri'!$F$5:$F$84,MATCH($A21&amp;"|"&amp;G$3,'Matris Gerekçeleri'!$A$5:$A$84,0)),"—")</f>
        <v>◐</v>
      </c>
      <c r="H21" s="16" t="str">
        <f aca="false">IFERROR(INDEX('Matris Gerekçeleri'!$F$5:$F$84,MATCH($A21&amp;"|"&amp;H$3,'Matris Gerekçeleri'!$A$5:$A$84,0)),"—")</f>
        <v>✔</v>
      </c>
      <c r="I21" s="16" t="str">
        <f aca="false">IFERROR(INDEX('Matris Gerekçeleri'!$F$5:$F$84,MATCH($A21&amp;"|"&amp;I$3,'Matris Gerekçeleri'!$A$5:$A$84,0)),"—")</f>
        <v>✔</v>
      </c>
      <c r="J21" s="16" t="str">
        <f aca="false">IFERROR(INDEX('Matris Gerekçeleri'!$F$5:$F$84,MATCH($A21&amp;"|"&amp;J$3,'Matris Gerekçeleri'!$A$5:$A$84,0)),"—")</f>
        <v>✔</v>
      </c>
      <c r="K21" s="16" t="str">
        <f aca="false">IFERROR(INDEX('Matris Gerekçeleri'!$F$5:$F$84,MATCH($A21&amp;"|"&amp;K$3,'Matris Gerekçeleri'!$A$5:$A$84,0)),"—")</f>
        <v>—</v>
      </c>
      <c r="L21" s="16" t="str">
        <f aca="false">IFERROR(INDEX('Matris Gerekçeleri'!$F$5:$F$84,MATCH($A21&amp;"|"&amp;L$3,'Matris Gerekçeleri'!$A$5:$A$84,0)),"—")</f>
        <v>◐</v>
      </c>
      <c r="M21" s="16" t="str">
        <f aca="false">IFERROR(INDEX('Matris Gerekçeleri'!$F$5:$F$84,MATCH($A21&amp;"|"&amp;M$3,'Matris Gerekçeleri'!$A$5:$A$84,0)),"—")</f>
        <v>—</v>
      </c>
      <c r="N21" s="16" t="str">
        <f aca="false">IFERROR(INDEX('Matris Gerekçeleri'!$F$5:$F$84,MATCH($A21&amp;"|"&amp;N$3,'Matris Gerekçeleri'!$A$5:$A$84,0)),"—")</f>
        <v>—</v>
      </c>
      <c r="O21" s="16" t="str">
        <f aca="false">IFERROR(INDEX('Matris Gerekçeleri'!$F$5:$F$84,MATCH($A21&amp;"|"&amp;O$3,'Matris Gerekçeleri'!$A$5:$A$84,0)),"—")</f>
        <v>—</v>
      </c>
      <c r="P21" s="16" t="str">
        <f aca="false">IFERROR(INDEX('Matris Gerekçeleri'!$F$5:$F$84,MATCH($A21&amp;"|"&amp;P$3,'Matris Gerekçeleri'!$A$5:$A$84,0)),"—")</f>
        <v>—</v>
      </c>
      <c r="Q21" s="16" t="str">
        <f aca="false">IFERROR(INDEX('Matris Gerekçeleri'!$F$5:$F$84,MATCH($A21&amp;"|"&amp;Q$3,'Matris Gerekçeleri'!$A$5:$A$84,0)),"—")</f>
        <v>—</v>
      </c>
    </row>
    <row r="22" customFormat="false" ht="15" hidden="false" customHeight="false" outlineLevel="0" collapsed="false">
      <c r="A22" s="4" t="s">
        <v>858</v>
      </c>
      <c r="B22" s="4" t="s">
        <v>859</v>
      </c>
      <c r="C22" s="16" t="str">
        <f aca="false">IFERROR(INDEX('Matris Gerekçeleri'!$F$5:$F$84,MATCH($A22&amp;"|"&amp;C$3,'Matris Gerekçeleri'!$A$5:$A$84,0)),"—")</f>
        <v>—</v>
      </c>
      <c r="D22" s="16" t="str">
        <f aca="false">IFERROR(INDEX('Matris Gerekçeleri'!$F$5:$F$84,MATCH($A22&amp;"|"&amp;D$3,'Matris Gerekçeleri'!$A$5:$A$84,0)),"—")</f>
        <v>◐</v>
      </c>
      <c r="E22" s="16" t="str">
        <f aca="false">IFERROR(INDEX('Matris Gerekçeleri'!$F$5:$F$84,MATCH($A22&amp;"|"&amp;E$3,'Matris Gerekçeleri'!$A$5:$A$84,0)),"—")</f>
        <v>—</v>
      </c>
      <c r="F22" s="16" t="str">
        <f aca="false">IFERROR(INDEX('Matris Gerekçeleri'!$F$5:$F$84,MATCH($A22&amp;"|"&amp;F$3,'Matris Gerekçeleri'!$A$5:$A$84,0)),"—")</f>
        <v>—</v>
      </c>
      <c r="G22" s="16" t="str">
        <f aca="false">IFERROR(INDEX('Matris Gerekçeleri'!$F$5:$F$84,MATCH($A22&amp;"|"&amp;G$3,'Matris Gerekçeleri'!$A$5:$A$84,0)),"—")</f>
        <v>—</v>
      </c>
      <c r="H22" s="16" t="str">
        <f aca="false">IFERROR(INDEX('Matris Gerekçeleri'!$F$5:$F$84,MATCH($A22&amp;"|"&amp;H$3,'Matris Gerekçeleri'!$A$5:$A$84,0)),"—")</f>
        <v>✔</v>
      </c>
      <c r="I22" s="16" t="str">
        <f aca="false">IFERROR(INDEX('Matris Gerekçeleri'!$F$5:$F$84,MATCH($A22&amp;"|"&amp;I$3,'Matris Gerekçeleri'!$A$5:$A$84,0)),"—")</f>
        <v>✔</v>
      </c>
      <c r="J22" s="16" t="str">
        <f aca="false">IFERROR(INDEX('Matris Gerekçeleri'!$F$5:$F$84,MATCH($A22&amp;"|"&amp;J$3,'Matris Gerekçeleri'!$A$5:$A$84,0)),"—")</f>
        <v>✔</v>
      </c>
      <c r="K22" s="16" t="str">
        <f aca="false">IFERROR(INDEX('Matris Gerekçeleri'!$F$5:$F$84,MATCH($A22&amp;"|"&amp;K$3,'Matris Gerekçeleri'!$A$5:$A$84,0)),"—")</f>
        <v>◐</v>
      </c>
      <c r="L22" s="16" t="str">
        <f aca="false">IFERROR(INDEX('Matris Gerekçeleri'!$F$5:$F$84,MATCH($A22&amp;"|"&amp;L$3,'Matris Gerekçeleri'!$A$5:$A$84,0)),"—")</f>
        <v>◐</v>
      </c>
      <c r="M22" s="16" t="str">
        <f aca="false">IFERROR(INDEX('Matris Gerekçeleri'!$F$5:$F$84,MATCH($A22&amp;"|"&amp;M$3,'Matris Gerekçeleri'!$A$5:$A$84,0)),"—")</f>
        <v>—</v>
      </c>
      <c r="N22" s="16" t="str">
        <f aca="false">IFERROR(INDEX('Matris Gerekçeleri'!$F$5:$F$84,MATCH($A22&amp;"|"&amp;N$3,'Matris Gerekçeleri'!$A$5:$A$84,0)),"—")</f>
        <v>—</v>
      </c>
      <c r="O22" s="16" t="str">
        <f aca="false">IFERROR(INDEX('Matris Gerekçeleri'!$F$5:$F$84,MATCH($A22&amp;"|"&amp;O$3,'Matris Gerekçeleri'!$A$5:$A$84,0)),"—")</f>
        <v>—</v>
      </c>
      <c r="P22" s="16" t="str">
        <f aca="false">IFERROR(INDEX('Matris Gerekçeleri'!$F$5:$F$84,MATCH($A22&amp;"|"&amp;P$3,'Matris Gerekçeleri'!$A$5:$A$84,0)),"—")</f>
        <v>—</v>
      </c>
      <c r="Q22" s="16" t="str">
        <f aca="false">IFERROR(INDEX('Matris Gerekçeleri'!$F$5:$F$84,MATCH($A22&amp;"|"&amp;Q$3,'Matris Gerekçeleri'!$A$5:$A$84,0)),"—")</f>
        <v>—</v>
      </c>
    </row>
    <row r="23" customFormat="false" ht="15" hidden="false" customHeight="false" outlineLevel="0" collapsed="false">
      <c r="A23" s="4" t="s">
        <v>860</v>
      </c>
      <c r="B23" s="4" t="s">
        <v>861</v>
      </c>
      <c r="C23" s="16" t="str">
        <f aca="false">IFERROR(INDEX('Matris Gerekçeleri'!$F$5:$F$84,MATCH($A23&amp;"|"&amp;C$3,'Matris Gerekçeleri'!$A$5:$A$84,0)),"—")</f>
        <v>—</v>
      </c>
      <c r="D23" s="16" t="str">
        <f aca="false">IFERROR(INDEX('Matris Gerekçeleri'!$F$5:$F$84,MATCH($A23&amp;"|"&amp;D$3,'Matris Gerekçeleri'!$A$5:$A$84,0)),"—")</f>
        <v>—</v>
      </c>
      <c r="E23" s="16" t="str">
        <f aca="false">IFERROR(INDEX('Matris Gerekçeleri'!$F$5:$F$84,MATCH($A23&amp;"|"&amp;E$3,'Matris Gerekçeleri'!$A$5:$A$84,0)),"—")</f>
        <v>—</v>
      </c>
      <c r="F23" s="16" t="str">
        <f aca="false">IFERROR(INDEX('Matris Gerekçeleri'!$F$5:$F$84,MATCH($A23&amp;"|"&amp;F$3,'Matris Gerekçeleri'!$A$5:$A$84,0)),"—")</f>
        <v>—</v>
      </c>
      <c r="G23" s="16" t="str">
        <f aca="false">IFERROR(INDEX('Matris Gerekçeleri'!$F$5:$F$84,MATCH($A23&amp;"|"&amp;G$3,'Matris Gerekçeleri'!$A$5:$A$84,0)),"—")</f>
        <v>—</v>
      </c>
      <c r="H23" s="16" t="str">
        <f aca="false">IFERROR(INDEX('Matris Gerekçeleri'!$F$5:$F$84,MATCH($A23&amp;"|"&amp;H$3,'Matris Gerekçeleri'!$A$5:$A$84,0)),"—")</f>
        <v>◐</v>
      </c>
      <c r="I23" s="16" t="str">
        <f aca="false">IFERROR(INDEX('Matris Gerekçeleri'!$F$5:$F$84,MATCH($A23&amp;"|"&amp;I$3,'Matris Gerekçeleri'!$A$5:$A$84,0)),"—")</f>
        <v>✖</v>
      </c>
      <c r="J23" s="16" t="str">
        <f aca="false">IFERROR(INDEX('Matris Gerekçeleri'!$F$5:$F$84,MATCH($A23&amp;"|"&amp;J$3,'Matris Gerekçeleri'!$A$5:$A$84,0)),"—")</f>
        <v>✖</v>
      </c>
      <c r="K23" s="16" t="str">
        <f aca="false">IFERROR(INDEX('Matris Gerekçeleri'!$F$5:$F$84,MATCH($A23&amp;"|"&amp;K$3,'Matris Gerekçeleri'!$A$5:$A$84,0)),"—")</f>
        <v>◐</v>
      </c>
      <c r="L23" s="16" t="str">
        <f aca="false">IFERROR(INDEX('Matris Gerekçeleri'!$F$5:$F$84,MATCH($A23&amp;"|"&amp;L$3,'Matris Gerekçeleri'!$A$5:$A$84,0)),"—")</f>
        <v>—</v>
      </c>
      <c r="M23" s="16" t="str">
        <f aca="false">IFERROR(INDEX('Matris Gerekçeleri'!$F$5:$F$84,MATCH($A23&amp;"|"&amp;M$3,'Matris Gerekçeleri'!$A$5:$A$84,0)),"—")</f>
        <v>—</v>
      </c>
      <c r="N23" s="16" t="str">
        <f aca="false">IFERROR(INDEX('Matris Gerekçeleri'!$F$5:$F$84,MATCH($A23&amp;"|"&amp;N$3,'Matris Gerekçeleri'!$A$5:$A$84,0)),"—")</f>
        <v>—</v>
      </c>
      <c r="O23" s="16" t="str">
        <f aca="false">IFERROR(INDEX('Matris Gerekçeleri'!$F$5:$F$84,MATCH($A23&amp;"|"&amp;O$3,'Matris Gerekçeleri'!$A$5:$A$84,0)),"—")</f>
        <v>—</v>
      </c>
      <c r="P23" s="16" t="str">
        <f aca="false">IFERROR(INDEX('Matris Gerekçeleri'!$F$5:$F$84,MATCH($A23&amp;"|"&amp;P$3,'Matris Gerekçeleri'!$A$5:$A$84,0)),"—")</f>
        <v>—</v>
      </c>
      <c r="Q23" s="16" t="str">
        <f aca="false">IFERROR(INDEX('Matris Gerekçeleri'!$F$5:$F$84,MATCH($A23&amp;"|"&amp;Q$3,'Matris Gerekçeleri'!$A$5:$A$84,0)),"—")</f>
        <v>—</v>
      </c>
    </row>
    <row r="24" customFormat="false" ht="15" hidden="false" customHeight="false" outlineLevel="0" collapsed="false">
      <c r="A24" s="4" t="s">
        <v>862</v>
      </c>
      <c r="B24" s="4" t="s">
        <v>863</v>
      </c>
      <c r="C24" s="16" t="str">
        <f aca="false">IFERROR(INDEX('Matris Gerekçeleri'!$F$5:$F$84,MATCH($A24&amp;"|"&amp;C$3,'Matris Gerekçeleri'!$A$5:$A$84,0)),"—")</f>
        <v>—</v>
      </c>
      <c r="D24" s="16" t="str">
        <f aca="false">IFERROR(INDEX('Matris Gerekçeleri'!$F$5:$F$84,MATCH($A24&amp;"|"&amp;D$3,'Matris Gerekçeleri'!$A$5:$A$84,0)),"—")</f>
        <v>◐</v>
      </c>
      <c r="E24" s="16" t="str">
        <f aca="false">IFERROR(INDEX('Matris Gerekçeleri'!$F$5:$F$84,MATCH($A24&amp;"|"&amp;E$3,'Matris Gerekçeleri'!$A$5:$A$84,0)),"—")</f>
        <v>—</v>
      </c>
      <c r="F24" s="16" t="str">
        <f aca="false">IFERROR(INDEX('Matris Gerekçeleri'!$F$5:$F$84,MATCH($A24&amp;"|"&amp;F$3,'Matris Gerekçeleri'!$A$5:$A$84,0)),"—")</f>
        <v>—</v>
      </c>
      <c r="G24" s="16" t="str">
        <f aca="false">IFERROR(INDEX('Matris Gerekçeleri'!$F$5:$F$84,MATCH($A24&amp;"|"&amp;G$3,'Matris Gerekçeleri'!$A$5:$A$84,0)),"—")</f>
        <v>◐</v>
      </c>
      <c r="H24" s="16" t="str">
        <f aca="false">IFERROR(INDEX('Matris Gerekçeleri'!$F$5:$F$84,MATCH($A24&amp;"|"&amp;H$3,'Matris Gerekçeleri'!$A$5:$A$84,0)),"—")</f>
        <v>—</v>
      </c>
      <c r="I24" s="16" t="str">
        <f aca="false">IFERROR(INDEX('Matris Gerekçeleri'!$F$5:$F$84,MATCH($A24&amp;"|"&amp;I$3,'Matris Gerekçeleri'!$A$5:$A$84,0)),"—")</f>
        <v>—</v>
      </c>
      <c r="J24" s="16" t="str">
        <f aca="false">IFERROR(INDEX('Matris Gerekçeleri'!$F$5:$F$84,MATCH($A24&amp;"|"&amp;J$3,'Matris Gerekçeleri'!$A$5:$A$84,0)),"—")</f>
        <v>—</v>
      </c>
      <c r="K24" s="16" t="str">
        <f aca="false">IFERROR(INDEX('Matris Gerekçeleri'!$F$5:$F$84,MATCH($A24&amp;"|"&amp;K$3,'Matris Gerekçeleri'!$A$5:$A$84,0)),"—")</f>
        <v>—</v>
      </c>
      <c r="L24" s="16" t="str">
        <f aca="false">IFERROR(INDEX('Matris Gerekçeleri'!$F$5:$F$84,MATCH($A24&amp;"|"&amp;L$3,'Matris Gerekçeleri'!$A$5:$A$84,0)),"—")</f>
        <v>—</v>
      </c>
      <c r="M24" s="16" t="str">
        <f aca="false">IFERROR(INDEX('Matris Gerekçeleri'!$F$5:$F$84,MATCH($A24&amp;"|"&amp;M$3,'Matris Gerekçeleri'!$A$5:$A$84,0)),"—")</f>
        <v>◐</v>
      </c>
      <c r="N24" s="16" t="str">
        <f aca="false">IFERROR(INDEX('Matris Gerekçeleri'!$F$5:$F$84,MATCH($A24&amp;"|"&amp;N$3,'Matris Gerekçeleri'!$A$5:$A$84,0)),"—")</f>
        <v>✔</v>
      </c>
      <c r="O24" s="16" t="str">
        <f aca="false">IFERROR(INDEX('Matris Gerekçeleri'!$F$5:$F$84,MATCH($A24&amp;"|"&amp;O$3,'Matris Gerekçeleri'!$A$5:$A$84,0)),"—")</f>
        <v>—</v>
      </c>
      <c r="P24" s="16" t="str">
        <f aca="false">IFERROR(INDEX('Matris Gerekçeleri'!$F$5:$F$84,MATCH($A24&amp;"|"&amp;P$3,'Matris Gerekçeleri'!$A$5:$A$84,0)),"—")</f>
        <v>—</v>
      </c>
      <c r="Q24" s="16" t="str">
        <f aca="false">IFERROR(INDEX('Matris Gerekçeleri'!$F$5:$F$84,MATCH($A24&amp;"|"&amp;Q$3,'Matris Gerekçeleri'!$A$5:$A$84,0)),"—")</f>
        <v>—</v>
      </c>
    </row>
    <row r="25" customFormat="false" ht="15" hidden="false" customHeight="false" outlineLevel="0" collapsed="false">
      <c r="A25" s="4" t="s">
        <v>864</v>
      </c>
      <c r="B25" s="4" t="s">
        <v>865</v>
      </c>
      <c r="C25" s="16" t="str">
        <f aca="false">IFERROR(INDEX('Matris Gerekçeleri'!$F$5:$F$84,MATCH($A25&amp;"|"&amp;C$3,'Matris Gerekçeleri'!$A$5:$A$84,0)),"—")</f>
        <v>◐</v>
      </c>
      <c r="D25" s="16" t="str">
        <f aca="false">IFERROR(INDEX('Matris Gerekçeleri'!$F$5:$F$84,MATCH($A25&amp;"|"&amp;D$3,'Matris Gerekçeleri'!$A$5:$A$84,0)),"—")</f>
        <v>◐</v>
      </c>
      <c r="E25" s="16" t="str">
        <f aca="false">IFERROR(INDEX('Matris Gerekçeleri'!$F$5:$F$84,MATCH($A25&amp;"|"&amp;E$3,'Matris Gerekçeleri'!$A$5:$A$84,0)),"—")</f>
        <v>—</v>
      </c>
      <c r="F25" s="16" t="str">
        <f aca="false">IFERROR(INDEX('Matris Gerekçeleri'!$F$5:$F$84,MATCH($A25&amp;"|"&amp;F$3,'Matris Gerekçeleri'!$A$5:$A$84,0)),"—")</f>
        <v>◐</v>
      </c>
      <c r="G25" s="16" t="str">
        <f aca="false">IFERROR(INDEX('Matris Gerekçeleri'!$F$5:$F$84,MATCH($A25&amp;"|"&amp;G$3,'Matris Gerekçeleri'!$A$5:$A$84,0)),"—")</f>
        <v>—</v>
      </c>
      <c r="H25" s="16" t="str">
        <f aca="false">IFERROR(INDEX('Matris Gerekçeleri'!$F$5:$F$84,MATCH($A25&amp;"|"&amp;H$3,'Matris Gerekçeleri'!$A$5:$A$84,0)),"—")</f>
        <v>—</v>
      </c>
      <c r="I25" s="16" t="str">
        <f aca="false">IFERROR(INDEX('Matris Gerekçeleri'!$F$5:$F$84,MATCH($A25&amp;"|"&amp;I$3,'Matris Gerekçeleri'!$A$5:$A$84,0)),"—")</f>
        <v>—</v>
      </c>
      <c r="J25" s="16" t="str">
        <f aca="false">IFERROR(INDEX('Matris Gerekçeleri'!$F$5:$F$84,MATCH($A25&amp;"|"&amp;J$3,'Matris Gerekçeleri'!$A$5:$A$84,0)),"—")</f>
        <v>—</v>
      </c>
      <c r="K25" s="16" t="str">
        <f aca="false">IFERROR(INDEX('Matris Gerekçeleri'!$F$5:$F$84,MATCH($A25&amp;"|"&amp;K$3,'Matris Gerekçeleri'!$A$5:$A$84,0)),"—")</f>
        <v>—</v>
      </c>
      <c r="L25" s="16" t="str">
        <f aca="false">IFERROR(INDEX('Matris Gerekçeleri'!$F$5:$F$84,MATCH($A25&amp;"|"&amp;L$3,'Matris Gerekçeleri'!$A$5:$A$84,0)),"—")</f>
        <v>—</v>
      </c>
      <c r="M25" s="16" t="str">
        <f aca="false">IFERROR(INDEX('Matris Gerekçeleri'!$F$5:$F$84,MATCH($A25&amp;"|"&amp;M$3,'Matris Gerekçeleri'!$A$5:$A$84,0)),"—")</f>
        <v>—</v>
      </c>
      <c r="N25" s="16" t="str">
        <f aca="false">IFERROR(INDEX('Matris Gerekçeleri'!$F$5:$F$84,MATCH($A25&amp;"|"&amp;N$3,'Matris Gerekçeleri'!$A$5:$A$84,0)),"—")</f>
        <v>✔</v>
      </c>
      <c r="O25" s="16" t="str">
        <f aca="false">IFERROR(INDEX('Matris Gerekçeleri'!$F$5:$F$84,MATCH($A25&amp;"|"&amp;O$3,'Matris Gerekçeleri'!$A$5:$A$84,0)),"—")</f>
        <v>—</v>
      </c>
      <c r="P25" s="16" t="str">
        <f aca="false">IFERROR(INDEX('Matris Gerekçeleri'!$F$5:$F$84,MATCH($A25&amp;"|"&amp;P$3,'Matris Gerekçeleri'!$A$5:$A$84,0)),"—")</f>
        <v>—</v>
      </c>
      <c r="Q25" s="16" t="str">
        <f aca="false">IFERROR(INDEX('Matris Gerekçeleri'!$F$5:$F$84,MATCH($A25&amp;"|"&amp;Q$3,'Matris Gerekçeleri'!$A$5:$A$84,0)),"—")</f>
        <v>—</v>
      </c>
    </row>
    <row r="26" customFormat="false" ht="15" hidden="false" customHeight="false" outlineLevel="0" collapsed="false">
      <c r="A26" s="4" t="s">
        <v>866</v>
      </c>
      <c r="B26" s="4" t="s">
        <v>867</v>
      </c>
      <c r="C26" s="16" t="str">
        <f aca="false">IFERROR(INDEX('Matris Gerekçeleri'!$F$5:$F$84,MATCH($A26&amp;"|"&amp;C$3,'Matris Gerekçeleri'!$A$5:$A$84,0)),"—")</f>
        <v>✖</v>
      </c>
      <c r="D26" s="16" t="str">
        <f aca="false">IFERROR(INDEX('Matris Gerekçeleri'!$F$5:$F$84,MATCH($A26&amp;"|"&amp;D$3,'Matris Gerekçeleri'!$A$5:$A$84,0)),"—")</f>
        <v>—</v>
      </c>
      <c r="E26" s="16" t="str">
        <f aca="false">IFERROR(INDEX('Matris Gerekçeleri'!$F$5:$F$84,MATCH($A26&amp;"|"&amp;E$3,'Matris Gerekçeleri'!$A$5:$A$84,0)),"—")</f>
        <v>—</v>
      </c>
      <c r="F26" s="16" t="str">
        <f aca="false">IFERROR(INDEX('Matris Gerekçeleri'!$F$5:$F$84,MATCH($A26&amp;"|"&amp;F$3,'Matris Gerekçeleri'!$A$5:$A$84,0)),"—")</f>
        <v>—</v>
      </c>
      <c r="G26" s="16" t="str">
        <f aca="false">IFERROR(INDEX('Matris Gerekçeleri'!$F$5:$F$84,MATCH($A26&amp;"|"&amp;G$3,'Matris Gerekçeleri'!$A$5:$A$84,0)),"—")</f>
        <v>—</v>
      </c>
      <c r="H26" s="16" t="str">
        <f aca="false">IFERROR(INDEX('Matris Gerekçeleri'!$F$5:$F$84,MATCH($A26&amp;"|"&amp;H$3,'Matris Gerekçeleri'!$A$5:$A$84,0)),"—")</f>
        <v>—</v>
      </c>
      <c r="I26" s="16" t="str">
        <f aca="false">IFERROR(INDEX('Matris Gerekçeleri'!$F$5:$F$84,MATCH($A26&amp;"|"&amp;I$3,'Matris Gerekçeleri'!$A$5:$A$84,0)),"—")</f>
        <v>✖</v>
      </c>
      <c r="J26" s="16" t="str">
        <f aca="false">IFERROR(INDEX('Matris Gerekçeleri'!$F$5:$F$84,MATCH($A26&amp;"|"&amp;J$3,'Matris Gerekçeleri'!$A$5:$A$84,0)),"—")</f>
        <v>—</v>
      </c>
      <c r="K26" s="16" t="str">
        <f aca="false">IFERROR(INDEX('Matris Gerekçeleri'!$F$5:$F$84,MATCH($A26&amp;"|"&amp;K$3,'Matris Gerekçeleri'!$A$5:$A$84,0)),"—")</f>
        <v>✔</v>
      </c>
      <c r="L26" s="16" t="str">
        <f aca="false">IFERROR(INDEX('Matris Gerekçeleri'!$F$5:$F$84,MATCH($A26&amp;"|"&amp;L$3,'Matris Gerekçeleri'!$A$5:$A$84,0)),"—")</f>
        <v>—</v>
      </c>
      <c r="M26" s="16" t="str">
        <f aca="false">IFERROR(INDEX('Matris Gerekçeleri'!$F$5:$F$84,MATCH($A26&amp;"|"&amp;M$3,'Matris Gerekçeleri'!$A$5:$A$84,0)),"—")</f>
        <v>—</v>
      </c>
      <c r="N26" s="16" t="str">
        <f aca="false">IFERROR(INDEX('Matris Gerekçeleri'!$F$5:$F$84,MATCH($A26&amp;"|"&amp;N$3,'Matris Gerekçeleri'!$A$5:$A$84,0)),"—")</f>
        <v>—</v>
      </c>
      <c r="O26" s="16" t="str">
        <f aca="false">IFERROR(INDEX('Matris Gerekçeleri'!$F$5:$F$84,MATCH($A26&amp;"|"&amp;O$3,'Matris Gerekçeleri'!$A$5:$A$84,0)),"—")</f>
        <v>—</v>
      </c>
      <c r="P26" s="16" t="str">
        <f aca="false">IFERROR(INDEX('Matris Gerekçeleri'!$F$5:$F$84,MATCH($A26&amp;"|"&amp;P$3,'Matris Gerekçeleri'!$A$5:$A$84,0)),"—")</f>
        <v>—</v>
      </c>
      <c r="Q26" s="16" t="str">
        <f aca="false">IFERROR(INDEX('Matris Gerekçeleri'!$F$5:$F$84,MATCH($A26&amp;"|"&amp;Q$3,'Matris Gerekçeleri'!$A$5:$A$84,0)),"—")</f>
        <v>—</v>
      </c>
    </row>
    <row r="28" customFormat="false" ht="15" hidden="false" customHeight="false" outlineLevel="0" collapsed="false">
      <c r="B28" s="6" t="s">
        <v>868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customFormat="false" ht="15" hidden="false" customHeight="false" outlineLevel="0" collapsed="false">
      <c r="B29" s="4" t="s">
        <v>869</v>
      </c>
      <c r="C29" s="17" t="n">
        <f aca="false">COUNTIF(C$5:C$26,"✔")</f>
        <v>0</v>
      </c>
      <c r="D29" s="17" t="n">
        <f aca="false">COUNTIF(D$5:D$26,"✔")</f>
        <v>0</v>
      </c>
      <c r="E29" s="17" t="n">
        <f aca="false">COUNTIF(E$5:E$26,"✔")</f>
        <v>0</v>
      </c>
      <c r="F29" s="17" t="n">
        <f aca="false">COUNTIF(F$5:F$26,"✔")</f>
        <v>0</v>
      </c>
      <c r="G29" s="17" t="n">
        <f aca="false">COUNTIF(G$5:G$26,"✔")</f>
        <v>0</v>
      </c>
      <c r="H29" s="17" t="n">
        <f aca="false">COUNTIF(H$5:H$26,"✔")</f>
        <v>4</v>
      </c>
      <c r="I29" s="17" t="n">
        <f aca="false">COUNTIF(I$5:I$26,"✔")</f>
        <v>6</v>
      </c>
      <c r="J29" s="17" t="n">
        <f aca="false">COUNTIF(J$5:J$26,"✔")</f>
        <v>4</v>
      </c>
      <c r="K29" s="17" t="n">
        <f aca="false">COUNTIF(K$5:K$26,"✔")</f>
        <v>1</v>
      </c>
      <c r="L29" s="17" t="n">
        <f aca="false">COUNTIF(L$5:L$26,"✔")</f>
        <v>0</v>
      </c>
      <c r="M29" s="17" t="n">
        <f aca="false">COUNTIF(M$5:M$26,"✔")</f>
        <v>0</v>
      </c>
      <c r="N29" s="17" t="n">
        <f aca="false">COUNTIF(N$5:N$26,"✔")</f>
        <v>2</v>
      </c>
      <c r="O29" s="17" t="n">
        <f aca="false">COUNTIF(O$5:O$26,"✔")</f>
        <v>6</v>
      </c>
      <c r="P29" s="17" t="n">
        <f aca="false">COUNTIF(P$5:P$26,"✔")</f>
        <v>5</v>
      </c>
      <c r="Q29" s="17" t="n">
        <f aca="false">COUNTIF(Q$5:Q$26,"✔")</f>
        <v>2</v>
      </c>
    </row>
    <row r="30" customFormat="false" ht="15" hidden="false" customHeight="false" outlineLevel="0" collapsed="false">
      <c r="B30" s="4" t="s">
        <v>870</v>
      </c>
      <c r="C30" s="17" t="n">
        <f aca="false">COUNTIF(C$5:C$26,"◐")</f>
        <v>4</v>
      </c>
      <c r="D30" s="17" t="n">
        <f aca="false">COUNTIF(D$5:D$26,"◐")</f>
        <v>14</v>
      </c>
      <c r="E30" s="17" t="n">
        <f aca="false">COUNTIF(E$5:E$26,"◐")</f>
        <v>0</v>
      </c>
      <c r="F30" s="17" t="n">
        <f aca="false">COUNTIF(F$5:F$26,"◐")</f>
        <v>1</v>
      </c>
      <c r="G30" s="17" t="n">
        <f aca="false">COUNTIF(G$5:G$26,"◐")</f>
        <v>3</v>
      </c>
      <c r="H30" s="17" t="n">
        <f aca="false">COUNTIF(H$5:H$26,"◐")</f>
        <v>3</v>
      </c>
      <c r="I30" s="17" t="n">
        <f aca="false">COUNTIF(I$5:I$26,"◐")</f>
        <v>0</v>
      </c>
      <c r="J30" s="17" t="n">
        <f aca="false">COUNTIF(J$5:J$26,"◐")</f>
        <v>0</v>
      </c>
      <c r="K30" s="17" t="n">
        <f aca="false">COUNTIF(K$5:K$26,"◐")</f>
        <v>6</v>
      </c>
      <c r="L30" s="17" t="n">
        <f aca="false">COUNTIF(L$5:L$26,"◐")</f>
        <v>4</v>
      </c>
      <c r="M30" s="17" t="n">
        <f aca="false">COUNTIF(M$5:M$26,"◐")</f>
        <v>1</v>
      </c>
      <c r="N30" s="17" t="n">
        <f aca="false">COUNTIF(N$5:N$26,"◐")</f>
        <v>0</v>
      </c>
      <c r="O30" s="17" t="n">
        <f aca="false">COUNTIF(O$5:O$26,"◐")</f>
        <v>0</v>
      </c>
      <c r="P30" s="17" t="n">
        <f aca="false">COUNTIF(P$5:P$26,"◐")</f>
        <v>2</v>
      </c>
      <c r="Q30" s="17" t="n">
        <f aca="false">COUNTIF(Q$5:Q$26,"◐")</f>
        <v>0</v>
      </c>
    </row>
    <row r="31" customFormat="false" ht="15" hidden="false" customHeight="false" outlineLevel="0" collapsed="false">
      <c r="B31" s="4" t="s">
        <v>871</v>
      </c>
      <c r="C31" s="17" t="n">
        <f aca="false">COUNTIF(C$5:C$26,"✖")</f>
        <v>2</v>
      </c>
      <c r="D31" s="17" t="n">
        <f aca="false">COUNTIF(D$5:D$26,"✖")</f>
        <v>1</v>
      </c>
      <c r="E31" s="17" t="n">
        <f aca="false">COUNTIF(E$5:E$26,"✖")</f>
        <v>0</v>
      </c>
      <c r="F31" s="17" t="n">
        <f aca="false">COUNTIF(F$5:F$26,"✖")</f>
        <v>0</v>
      </c>
      <c r="G31" s="17" t="n">
        <f aca="false">COUNTIF(G$5:G$26,"✖")</f>
        <v>0</v>
      </c>
      <c r="H31" s="17" t="n">
        <f aca="false">COUNTIF(H$5:H$26,"✖")</f>
        <v>1</v>
      </c>
      <c r="I31" s="17" t="n">
        <f aca="false">COUNTIF(I$5:I$26,"✖")</f>
        <v>5</v>
      </c>
      <c r="J31" s="17" t="n">
        <f aca="false">COUNTIF(J$5:J$26,"✖")</f>
        <v>2</v>
      </c>
      <c r="K31" s="17" t="n">
        <f aca="false">COUNTIF(K$5:K$26,"✖")</f>
        <v>0</v>
      </c>
      <c r="L31" s="17" t="n">
        <f aca="false">COUNTIF(L$5:L$26,"✖")</f>
        <v>0</v>
      </c>
      <c r="M31" s="17" t="n">
        <f aca="false">COUNTIF(M$5:M$26,"✖")</f>
        <v>0</v>
      </c>
      <c r="N31" s="17" t="n">
        <f aca="false">COUNTIF(N$5:N$26,"✖")</f>
        <v>0</v>
      </c>
      <c r="O31" s="17" t="n">
        <f aca="false">COUNTIF(O$5:O$26,"✖")</f>
        <v>0</v>
      </c>
      <c r="P31" s="17" t="n">
        <f aca="false">COUNTIF(P$5:P$26,"✖")</f>
        <v>1</v>
      </c>
      <c r="Q31" s="17" t="n">
        <f aca="false">COUNTIF(Q$5:Q$26,"✖")</f>
        <v>0</v>
      </c>
    </row>
  </sheetData>
  <conditionalFormatting sqref="C5:Q26">
    <cfRule type="cellIs" priority="2" operator="equal" aboveAverage="0" equalAverage="0" bottom="0" percent="0" rank="0" text="" dxfId="23">
      <formula>"✔"</formula>
    </cfRule>
    <cfRule type="cellIs" priority="3" operator="equal" aboveAverage="0" equalAverage="0" bottom="0" percent="0" rank="0" text="" dxfId="24">
      <formula>"◐"</formula>
    </cfRule>
    <cfRule type="cellIs" priority="4" operator="equal" aboveAverage="0" equalAverage="0" bottom="0" percent="0" rank="0" text="" dxfId="25">
      <formula>"✖"</formula>
    </cfRule>
    <cfRule type="cellIs" priority="5" operator="equal" aboveAverage="0" equalAverage="0" bottom="0" percent="0" rank="0" text="" dxfId="26">
      <formula>"—"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60"/>
    <col collapsed="false" customWidth="true" hidden="false" outlineLevel="0" max="8" min="8" style="0" width="30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872</v>
      </c>
    </row>
    <row r="2" customFormat="false" ht="15" hidden="false" customHeight="false" outlineLevel="0" collapsed="false">
      <c r="A2" s="2" t="s">
        <v>873</v>
      </c>
    </row>
    <row r="4" customFormat="false" ht="30" hidden="false" customHeight="true" outlineLevel="0" collapsed="false">
      <c r="A4" s="3" t="s">
        <v>874</v>
      </c>
      <c r="B4" s="3" t="s">
        <v>875</v>
      </c>
      <c r="C4" s="3" t="s">
        <v>809</v>
      </c>
      <c r="D4" s="3" t="s">
        <v>232</v>
      </c>
      <c r="E4" s="3" t="s">
        <v>56</v>
      </c>
      <c r="F4" s="3" t="s">
        <v>876</v>
      </c>
      <c r="G4" s="3" t="s">
        <v>877</v>
      </c>
      <c r="H4" s="3" t="s">
        <v>64</v>
      </c>
      <c r="I4" s="3" t="s">
        <v>18</v>
      </c>
    </row>
    <row r="5" customFormat="false" ht="15" hidden="false" customHeight="false" outlineLevel="0" collapsed="false">
      <c r="A5" s="18" t="str">
        <f aca="false">B5&amp;"|"&amp;D5</f>
        <v>T01|P04</v>
      </c>
      <c r="B5" s="13" t="s">
        <v>824</v>
      </c>
      <c r="C5" s="5" t="s">
        <v>825</v>
      </c>
      <c r="D5" s="13" t="s">
        <v>96</v>
      </c>
      <c r="E5" s="5" t="s">
        <v>810</v>
      </c>
      <c r="F5" s="13" t="s">
        <v>878</v>
      </c>
      <c r="G5" s="5" t="s">
        <v>879</v>
      </c>
      <c r="H5" s="5" t="s">
        <v>880</v>
      </c>
      <c r="I5" s="7" t="s">
        <v>20</v>
      </c>
    </row>
    <row r="6" customFormat="false" ht="15" hidden="false" customHeight="false" outlineLevel="0" collapsed="false">
      <c r="A6" s="18" t="str">
        <f aca="false">B6&amp;"|"&amp;D6</f>
        <v>T01|P05</v>
      </c>
      <c r="B6" s="13" t="s">
        <v>824</v>
      </c>
      <c r="C6" s="5" t="s">
        <v>825</v>
      </c>
      <c r="D6" s="13" t="s">
        <v>101</v>
      </c>
      <c r="E6" s="5" t="s">
        <v>811</v>
      </c>
      <c r="F6" s="13" t="s">
        <v>881</v>
      </c>
      <c r="G6" s="5" t="s">
        <v>882</v>
      </c>
      <c r="H6" s="5" t="s">
        <v>507</v>
      </c>
      <c r="I6" s="12" t="s">
        <v>30</v>
      </c>
    </row>
    <row r="7" customFormat="false" ht="15" hidden="false" customHeight="false" outlineLevel="0" collapsed="false">
      <c r="A7" s="18" t="str">
        <f aca="false">B7&amp;"|"&amp;D7</f>
        <v>T01|P07</v>
      </c>
      <c r="B7" s="13" t="s">
        <v>824</v>
      </c>
      <c r="C7" s="5" t="s">
        <v>825</v>
      </c>
      <c r="D7" s="13" t="s">
        <v>114</v>
      </c>
      <c r="E7" s="5" t="s">
        <v>815</v>
      </c>
      <c r="F7" s="13" t="s">
        <v>881</v>
      </c>
      <c r="G7" s="5" t="s">
        <v>883</v>
      </c>
      <c r="H7" s="5" t="s">
        <v>331</v>
      </c>
      <c r="I7" s="7" t="s">
        <v>20</v>
      </c>
    </row>
    <row r="8" customFormat="false" ht="15" hidden="false" customHeight="false" outlineLevel="0" collapsed="false">
      <c r="A8" s="18" t="str">
        <f aca="false">B8&amp;"|"&amp;D8</f>
        <v>T01|P08</v>
      </c>
      <c r="B8" s="13" t="s">
        <v>824</v>
      </c>
      <c r="C8" s="5" t="s">
        <v>825</v>
      </c>
      <c r="D8" s="13" t="s">
        <v>123</v>
      </c>
      <c r="E8" s="5" t="s">
        <v>816</v>
      </c>
      <c r="F8" s="13" t="s">
        <v>881</v>
      </c>
      <c r="G8" s="5" t="s">
        <v>884</v>
      </c>
      <c r="H8" s="5" t="s">
        <v>885</v>
      </c>
      <c r="I8" s="7" t="s">
        <v>20</v>
      </c>
    </row>
    <row r="9" customFormat="false" ht="15" hidden="false" customHeight="false" outlineLevel="0" collapsed="false">
      <c r="A9" s="18" t="str">
        <f aca="false">B9&amp;"|"&amp;D9</f>
        <v>T01|P09</v>
      </c>
      <c r="B9" s="13" t="s">
        <v>824</v>
      </c>
      <c r="C9" s="5" t="s">
        <v>825</v>
      </c>
      <c r="D9" s="13" t="s">
        <v>133</v>
      </c>
      <c r="E9" s="5" t="s">
        <v>817</v>
      </c>
      <c r="F9" s="13" t="s">
        <v>881</v>
      </c>
      <c r="G9" s="5" t="s">
        <v>884</v>
      </c>
      <c r="H9" s="5" t="s">
        <v>886</v>
      </c>
      <c r="I9" s="7" t="s">
        <v>20</v>
      </c>
    </row>
    <row r="10" customFormat="false" ht="15" hidden="false" customHeight="false" outlineLevel="0" collapsed="false">
      <c r="A10" s="18" t="str">
        <f aca="false">B10&amp;"|"&amp;D10</f>
        <v>T01|P10</v>
      </c>
      <c r="B10" s="13" t="s">
        <v>824</v>
      </c>
      <c r="C10" s="5" t="s">
        <v>825</v>
      </c>
      <c r="D10" s="13" t="s">
        <v>140</v>
      </c>
      <c r="E10" s="5" t="s">
        <v>818</v>
      </c>
      <c r="F10" s="13" t="s">
        <v>878</v>
      </c>
      <c r="G10" s="5" t="s">
        <v>887</v>
      </c>
      <c r="H10" s="5" t="s">
        <v>888</v>
      </c>
      <c r="I10" s="12" t="s">
        <v>30</v>
      </c>
    </row>
    <row r="11" customFormat="false" ht="15" hidden="false" customHeight="false" outlineLevel="0" collapsed="false">
      <c r="A11" s="18" t="str">
        <f aca="false">B11&amp;"|"&amp;D11</f>
        <v>T01|P11</v>
      </c>
      <c r="B11" s="13" t="s">
        <v>824</v>
      </c>
      <c r="C11" s="5" t="s">
        <v>825</v>
      </c>
      <c r="D11" s="13" t="s">
        <v>150</v>
      </c>
      <c r="E11" s="5" t="s">
        <v>368</v>
      </c>
      <c r="F11" s="13" t="s">
        <v>878</v>
      </c>
      <c r="G11" s="5" t="s">
        <v>889</v>
      </c>
      <c r="H11" s="5" t="s">
        <v>368</v>
      </c>
      <c r="I11" s="8" t="s">
        <v>22</v>
      </c>
    </row>
    <row r="12" customFormat="false" ht="15" hidden="false" customHeight="false" outlineLevel="0" collapsed="false">
      <c r="A12" s="18" t="str">
        <f aca="false">B12&amp;"|"&amp;D12</f>
        <v>T01|P16</v>
      </c>
      <c r="B12" s="13" t="s">
        <v>824</v>
      </c>
      <c r="C12" s="5" t="s">
        <v>825</v>
      </c>
      <c r="D12" s="13" t="s">
        <v>200</v>
      </c>
      <c r="E12" s="5" t="s">
        <v>822</v>
      </c>
      <c r="F12" s="13" t="s">
        <v>890</v>
      </c>
      <c r="G12" s="5" t="s">
        <v>891</v>
      </c>
      <c r="H12" s="5" t="s">
        <v>892</v>
      </c>
      <c r="I12" s="7" t="s">
        <v>20</v>
      </c>
    </row>
    <row r="13" customFormat="false" ht="15" hidden="false" customHeight="false" outlineLevel="0" collapsed="false">
      <c r="A13" s="18" t="str">
        <f aca="false">B13&amp;"|"&amp;D13</f>
        <v>T02|P04</v>
      </c>
      <c r="B13" s="13" t="s">
        <v>826</v>
      </c>
      <c r="C13" s="5" t="s">
        <v>827</v>
      </c>
      <c r="D13" s="13" t="s">
        <v>96</v>
      </c>
      <c r="E13" s="5" t="s">
        <v>810</v>
      </c>
      <c r="F13" s="13" t="s">
        <v>881</v>
      </c>
      <c r="G13" s="5" t="s">
        <v>893</v>
      </c>
      <c r="H13" s="5" t="s">
        <v>507</v>
      </c>
      <c r="I13" s="7" t="s">
        <v>20</v>
      </c>
    </row>
    <row r="14" customFormat="false" ht="15" hidden="false" customHeight="false" outlineLevel="0" collapsed="false">
      <c r="A14" s="18" t="str">
        <f aca="false">B14&amp;"|"&amp;D14</f>
        <v>T02|P05</v>
      </c>
      <c r="B14" s="13" t="s">
        <v>826</v>
      </c>
      <c r="C14" s="5" t="s">
        <v>827</v>
      </c>
      <c r="D14" s="13" t="s">
        <v>101</v>
      </c>
      <c r="E14" s="5" t="s">
        <v>811</v>
      </c>
      <c r="F14" s="13" t="s">
        <v>878</v>
      </c>
      <c r="G14" s="5" t="s">
        <v>894</v>
      </c>
      <c r="H14" s="5" t="s">
        <v>486</v>
      </c>
      <c r="I14" s="7" t="s">
        <v>20</v>
      </c>
    </row>
    <row r="15" customFormat="false" ht="15" hidden="false" customHeight="false" outlineLevel="0" collapsed="false">
      <c r="A15" s="18" t="str">
        <f aca="false">B15&amp;"|"&amp;D15</f>
        <v>T02|P08</v>
      </c>
      <c r="B15" s="13" t="s">
        <v>826</v>
      </c>
      <c r="C15" s="5" t="s">
        <v>827</v>
      </c>
      <c r="D15" s="13" t="s">
        <v>123</v>
      </c>
      <c r="E15" s="5" t="s">
        <v>816</v>
      </c>
      <c r="F15" s="13" t="s">
        <v>881</v>
      </c>
      <c r="G15" s="5" t="s">
        <v>884</v>
      </c>
      <c r="H15" s="5" t="s">
        <v>885</v>
      </c>
      <c r="I15" s="7" t="s">
        <v>20</v>
      </c>
    </row>
    <row r="16" customFormat="false" ht="15" hidden="false" customHeight="false" outlineLevel="0" collapsed="false">
      <c r="A16" s="18" t="str">
        <f aca="false">B16&amp;"|"&amp;D16</f>
        <v>T02|P10</v>
      </c>
      <c r="B16" s="13" t="s">
        <v>826</v>
      </c>
      <c r="C16" s="5" t="s">
        <v>827</v>
      </c>
      <c r="D16" s="13" t="s">
        <v>140</v>
      </c>
      <c r="E16" s="5" t="s">
        <v>818</v>
      </c>
      <c r="F16" s="13" t="s">
        <v>878</v>
      </c>
      <c r="G16" s="5" t="s">
        <v>895</v>
      </c>
      <c r="H16" s="5" t="s">
        <v>896</v>
      </c>
      <c r="I16" s="12" t="s">
        <v>30</v>
      </c>
    </row>
    <row r="17" customFormat="false" ht="15" hidden="false" customHeight="false" outlineLevel="0" collapsed="false">
      <c r="A17" s="18" t="str">
        <f aca="false">B17&amp;"|"&amp;D17</f>
        <v>T02|P16</v>
      </c>
      <c r="B17" s="13" t="s">
        <v>826</v>
      </c>
      <c r="C17" s="5" t="s">
        <v>827</v>
      </c>
      <c r="D17" s="13" t="s">
        <v>200</v>
      </c>
      <c r="E17" s="5" t="s">
        <v>822</v>
      </c>
      <c r="F17" s="13" t="s">
        <v>890</v>
      </c>
      <c r="G17" s="5" t="s">
        <v>897</v>
      </c>
      <c r="H17" s="5" t="s">
        <v>766</v>
      </c>
      <c r="I17" s="7" t="s">
        <v>20</v>
      </c>
    </row>
    <row r="18" customFormat="false" ht="15" hidden="false" customHeight="false" outlineLevel="0" collapsed="false">
      <c r="A18" s="18" t="str">
        <f aca="false">B18&amp;"|"&amp;D18</f>
        <v>T03|P05</v>
      </c>
      <c r="B18" s="13" t="s">
        <v>828</v>
      </c>
      <c r="C18" s="5" t="s">
        <v>829</v>
      </c>
      <c r="D18" s="13" t="s">
        <v>101</v>
      </c>
      <c r="E18" s="5" t="s">
        <v>811</v>
      </c>
      <c r="F18" s="13" t="s">
        <v>878</v>
      </c>
      <c r="G18" s="5" t="s">
        <v>898</v>
      </c>
      <c r="H18" s="5" t="s">
        <v>529</v>
      </c>
      <c r="I18" s="7" t="s">
        <v>20</v>
      </c>
    </row>
    <row r="19" customFormat="false" ht="15" hidden="false" customHeight="false" outlineLevel="0" collapsed="false">
      <c r="A19" s="18" t="str">
        <f aca="false">B19&amp;"|"&amp;D19</f>
        <v>T03|P15</v>
      </c>
      <c r="B19" s="13" t="s">
        <v>828</v>
      </c>
      <c r="C19" s="5" t="s">
        <v>829</v>
      </c>
      <c r="D19" s="13" t="s">
        <v>189</v>
      </c>
      <c r="E19" s="5" t="s">
        <v>821</v>
      </c>
      <c r="F19" s="13" t="s">
        <v>890</v>
      </c>
      <c r="G19" s="5" t="s">
        <v>899</v>
      </c>
      <c r="H19" s="5" t="s">
        <v>900</v>
      </c>
      <c r="I19" s="7" t="s">
        <v>20</v>
      </c>
    </row>
    <row r="20" customFormat="false" ht="15" hidden="false" customHeight="false" outlineLevel="0" collapsed="false">
      <c r="A20" s="18" t="str">
        <f aca="false">B20&amp;"|"&amp;D20</f>
        <v>T04|P17</v>
      </c>
      <c r="B20" s="13" t="s">
        <v>830</v>
      </c>
      <c r="C20" s="5" t="s">
        <v>831</v>
      </c>
      <c r="D20" s="13" t="s">
        <v>209</v>
      </c>
      <c r="E20" s="5" t="s">
        <v>823</v>
      </c>
      <c r="F20" s="13" t="s">
        <v>890</v>
      </c>
      <c r="G20" s="5" t="s">
        <v>901</v>
      </c>
      <c r="H20" s="5" t="s">
        <v>902</v>
      </c>
      <c r="I20" s="7" t="s">
        <v>20</v>
      </c>
    </row>
    <row r="21" customFormat="false" ht="15" hidden="false" customHeight="false" outlineLevel="0" collapsed="false">
      <c r="A21" s="18" t="str">
        <f aca="false">B21&amp;"|"&amp;D21</f>
        <v>T04|P05</v>
      </c>
      <c r="B21" s="13" t="s">
        <v>830</v>
      </c>
      <c r="C21" s="5" t="s">
        <v>831</v>
      </c>
      <c r="D21" s="13" t="s">
        <v>101</v>
      </c>
      <c r="E21" s="5" t="s">
        <v>811</v>
      </c>
      <c r="F21" s="13" t="s">
        <v>878</v>
      </c>
      <c r="G21" s="5" t="s">
        <v>903</v>
      </c>
      <c r="H21" s="5" t="s">
        <v>904</v>
      </c>
      <c r="I21" s="12" t="s">
        <v>30</v>
      </c>
    </row>
    <row r="22" customFormat="false" ht="15" hidden="false" customHeight="false" outlineLevel="0" collapsed="false">
      <c r="A22" s="18" t="str">
        <f aca="false">B22&amp;"|"&amp;D22</f>
        <v>T05|P04</v>
      </c>
      <c r="B22" s="13" t="s">
        <v>832</v>
      </c>
      <c r="C22" s="5" t="s">
        <v>833</v>
      </c>
      <c r="D22" s="13" t="s">
        <v>96</v>
      </c>
      <c r="E22" s="5" t="s">
        <v>810</v>
      </c>
      <c r="F22" s="13" t="s">
        <v>878</v>
      </c>
      <c r="G22" s="5" t="s">
        <v>905</v>
      </c>
      <c r="H22" s="5" t="s">
        <v>507</v>
      </c>
      <c r="I22" s="7" t="s">
        <v>20</v>
      </c>
    </row>
    <row r="23" customFormat="false" ht="15" hidden="false" customHeight="false" outlineLevel="0" collapsed="false">
      <c r="A23" s="18" t="str">
        <f aca="false">B23&amp;"|"&amp;D23</f>
        <v>T05|P16</v>
      </c>
      <c r="B23" s="13" t="s">
        <v>832</v>
      </c>
      <c r="C23" s="5" t="s">
        <v>833</v>
      </c>
      <c r="D23" s="13" t="s">
        <v>200</v>
      </c>
      <c r="E23" s="5" t="s">
        <v>822</v>
      </c>
      <c r="F23" s="13" t="s">
        <v>890</v>
      </c>
      <c r="G23" s="5" t="s">
        <v>906</v>
      </c>
      <c r="H23" s="5" t="s">
        <v>766</v>
      </c>
      <c r="I23" s="7" t="s">
        <v>20</v>
      </c>
    </row>
    <row r="24" customFormat="false" ht="15" hidden="false" customHeight="false" outlineLevel="0" collapsed="false">
      <c r="A24" s="18" t="str">
        <f aca="false">B24&amp;"|"&amp;D24</f>
        <v>T06|P05</v>
      </c>
      <c r="B24" s="13" t="s">
        <v>834</v>
      </c>
      <c r="C24" s="5" t="s">
        <v>835</v>
      </c>
      <c r="D24" s="13" t="s">
        <v>101</v>
      </c>
      <c r="E24" s="5" t="s">
        <v>811</v>
      </c>
      <c r="F24" s="13" t="s">
        <v>878</v>
      </c>
      <c r="G24" s="5" t="s">
        <v>907</v>
      </c>
      <c r="H24" s="5" t="s">
        <v>908</v>
      </c>
      <c r="I24" s="7" t="s">
        <v>20</v>
      </c>
    </row>
    <row r="25" customFormat="false" ht="15" hidden="false" customHeight="false" outlineLevel="0" collapsed="false">
      <c r="A25" s="18" t="str">
        <f aca="false">B25&amp;"|"&amp;D25</f>
        <v>T06|P15</v>
      </c>
      <c r="B25" s="13" t="s">
        <v>834</v>
      </c>
      <c r="C25" s="5" t="s">
        <v>835</v>
      </c>
      <c r="D25" s="13" t="s">
        <v>189</v>
      </c>
      <c r="E25" s="5" t="s">
        <v>821</v>
      </c>
      <c r="F25" s="13" t="s">
        <v>890</v>
      </c>
      <c r="G25" s="5" t="s">
        <v>909</v>
      </c>
      <c r="H25" s="5" t="s">
        <v>900</v>
      </c>
      <c r="I25" s="7" t="s">
        <v>20</v>
      </c>
    </row>
    <row r="26" customFormat="false" ht="15" hidden="false" customHeight="false" outlineLevel="0" collapsed="false">
      <c r="A26" s="18" t="str">
        <f aca="false">B26&amp;"|"&amp;D26</f>
        <v>T06|P17</v>
      </c>
      <c r="B26" s="13" t="s">
        <v>834</v>
      </c>
      <c r="C26" s="5" t="s">
        <v>835</v>
      </c>
      <c r="D26" s="13" t="s">
        <v>209</v>
      </c>
      <c r="E26" s="5" t="s">
        <v>823</v>
      </c>
      <c r="F26" s="13" t="s">
        <v>890</v>
      </c>
      <c r="G26" s="5" t="s">
        <v>910</v>
      </c>
      <c r="H26" s="5" t="s">
        <v>911</v>
      </c>
      <c r="I26" s="7" t="s">
        <v>20</v>
      </c>
    </row>
    <row r="27" customFormat="false" ht="15" hidden="false" customHeight="false" outlineLevel="0" collapsed="false">
      <c r="A27" s="18" t="str">
        <f aca="false">B27&amp;"|"&amp;D27</f>
        <v>T07|P16</v>
      </c>
      <c r="B27" s="13" t="s">
        <v>836</v>
      </c>
      <c r="C27" s="5" t="s">
        <v>837</v>
      </c>
      <c r="D27" s="13" t="s">
        <v>200</v>
      </c>
      <c r="E27" s="5" t="s">
        <v>822</v>
      </c>
      <c r="F27" s="13" t="s">
        <v>878</v>
      </c>
      <c r="G27" s="5" t="s">
        <v>912</v>
      </c>
      <c r="H27" s="5" t="s">
        <v>913</v>
      </c>
      <c r="I27" s="7" t="s">
        <v>20</v>
      </c>
    </row>
    <row r="28" customFormat="false" ht="23.85" hidden="false" customHeight="false" outlineLevel="0" collapsed="false">
      <c r="A28" s="18" t="str">
        <f aca="false">B28&amp;"|"&amp;D28</f>
        <v>T07|P04</v>
      </c>
      <c r="B28" s="13" t="s">
        <v>836</v>
      </c>
      <c r="C28" s="5" t="s">
        <v>837</v>
      </c>
      <c r="D28" s="13" t="s">
        <v>96</v>
      </c>
      <c r="E28" s="5" t="s">
        <v>810</v>
      </c>
      <c r="F28" s="13" t="s">
        <v>878</v>
      </c>
      <c r="G28" s="5" t="s">
        <v>914</v>
      </c>
      <c r="H28" s="5" t="s">
        <v>915</v>
      </c>
      <c r="I28" s="12" t="s">
        <v>30</v>
      </c>
    </row>
    <row r="29" customFormat="false" ht="15" hidden="false" customHeight="false" outlineLevel="0" collapsed="false">
      <c r="A29" s="18" t="str">
        <f aca="false">B29&amp;"|"&amp;D29</f>
        <v>T07|P08</v>
      </c>
      <c r="B29" s="13" t="s">
        <v>836</v>
      </c>
      <c r="C29" s="5" t="s">
        <v>837</v>
      </c>
      <c r="D29" s="13" t="s">
        <v>123</v>
      </c>
      <c r="E29" s="5" t="s">
        <v>816</v>
      </c>
      <c r="F29" s="13" t="s">
        <v>881</v>
      </c>
      <c r="G29" s="5" t="s">
        <v>916</v>
      </c>
      <c r="H29" s="5" t="s">
        <v>917</v>
      </c>
      <c r="I29" s="12" t="s">
        <v>30</v>
      </c>
    </row>
    <row r="30" customFormat="false" ht="15" hidden="false" customHeight="false" outlineLevel="0" collapsed="false">
      <c r="A30" s="18" t="str">
        <f aca="false">B30&amp;"|"&amp;D30</f>
        <v>T07|P10</v>
      </c>
      <c r="B30" s="13" t="s">
        <v>836</v>
      </c>
      <c r="C30" s="5" t="s">
        <v>837</v>
      </c>
      <c r="D30" s="13" t="s">
        <v>140</v>
      </c>
      <c r="E30" s="5" t="s">
        <v>818</v>
      </c>
      <c r="F30" s="13" t="s">
        <v>878</v>
      </c>
      <c r="G30" s="5" t="s">
        <v>918</v>
      </c>
      <c r="H30" s="5" t="s">
        <v>919</v>
      </c>
      <c r="I30" s="12" t="s">
        <v>30</v>
      </c>
    </row>
    <row r="31" customFormat="false" ht="15" hidden="false" customHeight="false" outlineLevel="0" collapsed="false">
      <c r="A31" s="18" t="str">
        <f aca="false">B31&amp;"|"&amp;D31</f>
        <v>T08|P15</v>
      </c>
      <c r="B31" s="13" t="s">
        <v>838</v>
      </c>
      <c r="C31" s="5" t="s">
        <v>839</v>
      </c>
      <c r="D31" s="13" t="s">
        <v>189</v>
      </c>
      <c r="E31" s="5" t="s">
        <v>821</v>
      </c>
      <c r="F31" s="13" t="s">
        <v>890</v>
      </c>
      <c r="G31" s="5" t="s">
        <v>920</v>
      </c>
      <c r="H31" s="5" t="s">
        <v>921</v>
      </c>
      <c r="I31" s="7" t="s">
        <v>20</v>
      </c>
    </row>
    <row r="32" customFormat="false" ht="15" hidden="false" customHeight="false" outlineLevel="0" collapsed="false">
      <c r="A32" s="18" t="str">
        <f aca="false">B32&amp;"|"&amp;D32</f>
        <v>T08|P16</v>
      </c>
      <c r="B32" s="13" t="s">
        <v>838</v>
      </c>
      <c r="C32" s="5" t="s">
        <v>839</v>
      </c>
      <c r="D32" s="13" t="s">
        <v>200</v>
      </c>
      <c r="E32" s="5" t="s">
        <v>822</v>
      </c>
      <c r="F32" s="13" t="s">
        <v>890</v>
      </c>
      <c r="G32" s="5" t="s">
        <v>922</v>
      </c>
      <c r="H32" s="5" t="s">
        <v>780</v>
      </c>
      <c r="I32" s="7" t="s">
        <v>20</v>
      </c>
    </row>
    <row r="33" customFormat="false" ht="15" hidden="false" customHeight="false" outlineLevel="0" collapsed="false">
      <c r="A33" s="18" t="str">
        <f aca="false">B33&amp;"|"&amp;D33</f>
        <v>T08|P05</v>
      </c>
      <c r="B33" s="13" t="s">
        <v>838</v>
      </c>
      <c r="C33" s="5" t="s">
        <v>839</v>
      </c>
      <c r="D33" s="13" t="s">
        <v>101</v>
      </c>
      <c r="E33" s="5" t="s">
        <v>811</v>
      </c>
      <c r="F33" s="13" t="s">
        <v>878</v>
      </c>
      <c r="G33" s="5" t="s">
        <v>923</v>
      </c>
      <c r="H33" s="5" t="s">
        <v>924</v>
      </c>
      <c r="I33" s="7" t="s">
        <v>20</v>
      </c>
    </row>
    <row r="34" customFormat="false" ht="15" hidden="false" customHeight="false" outlineLevel="0" collapsed="false">
      <c r="A34" s="18" t="str">
        <f aca="false">B34&amp;"|"&amp;D34</f>
        <v>T09|P05</v>
      </c>
      <c r="B34" s="13" t="s">
        <v>840</v>
      </c>
      <c r="C34" s="5" t="s">
        <v>841</v>
      </c>
      <c r="D34" s="13" t="s">
        <v>101</v>
      </c>
      <c r="E34" s="5" t="s">
        <v>811</v>
      </c>
      <c r="F34" s="13" t="s">
        <v>878</v>
      </c>
      <c r="G34" s="5" t="s">
        <v>925</v>
      </c>
      <c r="H34" s="5" t="s">
        <v>924</v>
      </c>
      <c r="I34" s="7" t="s">
        <v>20</v>
      </c>
    </row>
    <row r="35" customFormat="false" ht="15" hidden="false" customHeight="false" outlineLevel="0" collapsed="false">
      <c r="A35" s="18" t="str">
        <f aca="false">B35&amp;"|"&amp;D35</f>
        <v>T09|P16</v>
      </c>
      <c r="B35" s="13" t="s">
        <v>840</v>
      </c>
      <c r="C35" s="5" t="s">
        <v>841</v>
      </c>
      <c r="D35" s="13" t="s">
        <v>200</v>
      </c>
      <c r="E35" s="5" t="s">
        <v>822</v>
      </c>
      <c r="F35" s="13" t="s">
        <v>881</v>
      </c>
      <c r="G35" s="5" t="s">
        <v>926</v>
      </c>
      <c r="H35" s="5" t="s">
        <v>927</v>
      </c>
      <c r="I35" s="7" t="s">
        <v>20</v>
      </c>
    </row>
    <row r="36" customFormat="false" ht="15" hidden="false" customHeight="false" outlineLevel="0" collapsed="false">
      <c r="A36" s="18" t="str">
        <f aca="false">B36&amp;"|"&amp;D36</f>
        <v>T10|P05</v>
      </c>
      <c r="B36" s="13" t="s">
        <v>842</v>
      </c>
      <c r="C36" s="5" t="s">
        <v>843</v>
      </c>
      <c r="D36" s="13" t="s">
        <v>101</v>
      </c>
      <c r="E36" s="5" t="s">
        <v>811</v>
      </c>
      <c r="F36" s="13" t="s">
        <v>878</v>
      </c>
      <c r="G36" s="5" t="s">
        <v>928</v>
      </c>
      <c r="H36" s="5" t="s">
        <v>929</v>
      </c>
      <c r="I36" s="7" t="s">
        <v>20</v>
      </c>
    </row>
    <row r="37" customFormat="false" ht="15" hidden="false" customHeight="false" outlineLevel="0" collapsed="false">
      <c r="A37" s="18" t="str">
        <f aca="false">B37&amp;"|"&amp;D37</f>
        <v>T10|P15</v>
      </c>
      <c r="B37" s="13" t="s">
        <v>842</v>
      </c>
      <c r="C37" s="5" t="s">
        <v>843</v>
      </c>
      <c r="D37" s="13" t="s">
        <v>189</v>
      </c>
      <c r="E37" s="5" t="s">
        <v>821</v>
      </c>
      <c r="F37" s="13" t="s">
        <v>890</v>
      </c>
      <c r="G37" s="5" t="s">
        <v>930</v>
      </c>
      <c r="H37" s="5" t="s">
        <v>900</v>
      </c>
      <c r="I37" s="7" t="s">
        <v>20</v>
      </c>
    </row>
    <row r="38" customFormat="false" ht="15" hidden="false" customHeight="false" outlineLevel="0" collapsed="false">
      <c r="A38" s="18" t="str">
        <f aca="false">B38&amp;"|"&amp;D38</f>
        <v>T11|P05</v>
      </c>
      <c r="B38" s="13" t="s">
        <v>844</v>
      </c>
      <c r="C38" s="5" t="s">
        <v>845</v>
      </c>
      <c r="D38" s="13" t="s">
        <v>101</v>
      </c>
      <c r="E38" s="5" t="s">
        <v>811</v>
      </c>
      <c r="F38" s="13" t="s">
        <v>878</v>
      </c>
      <c r="G38" s="5" t="s">
        <v>931</v>
      </c>
      <c r="H38" s="5" t="s">
        <v>904</v>
      </c>
      <c r="I38" s="7" t="s">
        <v>20</v>
      </c>
    </row>
    <row r="39" customFormat="false" ht="15" hidden="false" customHeight="false" outlineLevel="0" collapsed="false">
      <c r="A39" s="18" t="str">
        <f aca="false">B39&amp;"|"&amp;D39</f>
        <v>T11|P15</v>
      </c>
      <c r="B39" s="13" t="s">
        <v>844</v>
      </c>
      <c r="C39" s="5" t="s">
        <v>845</v>
      </c>
      <c r="D39" s="13" t="s">
        <v>189</v>
      </c>
      <c r="E39" s="5" t="s">
        <v>821</v>
      </c>
      <c r="F39" s="13" t="s">
        <v>890</v>
      </c>
      <c r="G39" s="5" t="s">
        <v>932</v>
      </c>
      <c r="H39" s="5" t="s">
        <v>900</v>
      </c>
      <c r="I39" s="7" t="s">
        <v>20</v>
      </c>
    </row>
    <row r="40" customFormat="false" ht="15" hidden="false" customHeight="false" outlineLevel="0" collapsed="false">
      <c r="A40" s="18" t="str">
        <f aca="false">B40&amp;"|"&amp;D40</f>
        <v>T11|P16</v>
      </c>
      <c r="B40" s="13" t="s">
        <v>844</v>
      </c>
      <c r="C40" s="5" t="s">
        <v>845</v>
      </c>
      <c r="D40" s="13" t="s">
        <v>200</v>
      </c>
      <c r="E40" s="5" t="s">
        <v>822</v>
      </c>
      <c r="F40" s="13" t="s">
        <v>890</v>
      </c>
      <c r="G40" s="5" t="s">
        <v>933</v>
      </c>
      <c r="H40" s="5" t="s">
        <v>766</v>
      </c>
      <c r="I40" s="7" t="s">
        <v>20</v>
      </c>
    </row>
    <row r="41" customFormat="false" ht="15" hidden="false" customHeight="false" outlineLevel="0" collapsed="false">
      <c r="A41" s="18" t="str">
        <f aca="false">B41&amp;"|"&amp;D41</f>
        <v>T12|P05</v>
      </c>
      <c r="B41" s="13" t="s">
        <v>846</v>
      </c>
      <c r="C41" s="5" t="s">
        <v>847</v>
      </c>
      <c r="D41" s="13" t="s">
        <v>101</v>
      </c>
      <c r="E41" s="5" t="s">
        <v>811</v>
      </c>
      <c r="F41" s="13" t="s">
        <v>878</v>
      </c>
      <c r="G41" s="5" t="s">
        <v>928</v>
      </c>
      <c r="H41" s="5" t="s">
        <v>929</v>
      </c>
      <c r="I41" s="7" t="s">
        <v>20</v>
      </c>
    </row>
    <row r="42" customFormat="false" ht="15" hidden="false" customHeight="false" outlineLevel="0" collapsed="false">
      <c r="A42" s="18" t="str">
        <f aca="false">B42&amp;"|"&amp;D42</f>
        <v>T12|P15</v>
      </c>
      <c r="B42" s="13" t="s">
        <v>846</v>
      </c>
      <c r="C42" s="5" t="s">
        <v>847</v>
      </c>
      <c r="D42" s="13" t="s">
        <v>189</v>
      </c>
      <c r="E42" s="5" t="s">
        <v>821</v>
      </c>
      <c r="F42" s="13" t="s">
        <v>890</v>
      </c>
      <c r="G42" s="5" t="s">
        <v>934</v>
      </c>
      <c r="H42" s="5" t="s">
        <v>900</v>
      </c>
      <c r="I42" s="7" t="s">
        <v>20</v>
      </c>
    </row>
    <row r="43" customFormat="false" ht="15" hidden="false" customHeight="false" outlineLevel="0" collapsed="false">
      <c r="A43" s="18" t="str">
        <f aca="false">B43&amp;"|"&amp;D43</f>
        <v>T13|P08</v>
      </c>
      <c r="B43" s="13" t="s">
        <v>848</v>
      </c>
      <c r="C43" s="5" t="s">
        <v>849</v>
      </c>
      <c r="D43" s="13" t="s">
        <v>123</v>
      </c>
      <c r="E43" s="5" t="s">
        <v>816</v>
      </c>
      <c r="F43" s="13" t="s">
        <v>890</v>
      </c>
      <c r="G43" s="5" t="s">
        <v>935</v>
      </c>
      <c r="H43" s="5" t="s">
        <v>936</v>
      </c>
      <c r="I43" s="8" t="s">
        <v>22</v>
      </c>
    </row>
    <row r="44" customFormat="false" ht="15" hidden="false" customHeight="false" outlineLevel="0" collapsed="false">
      <c r="A44" s="18" t="str">
        <f aca="false">B44&amp;"|"&amp;D44</f>
        <v>T13|P07</v>
      </c>
      <c r="B44" s="13" t="s">
        <v>848</v>
      </c>
      <c r="C44" s="5" t="s">
        <v>849</v>
      </c>
      <c r="D44" s="13" t="s">
        <v>114</v>
      </c>
      <c r="E44" s="5" t="s">
        <v>815</v>
      </c>
      <c r="F44" s="13" t="s">
        <v>878</v>
      </c>
      <c r="G44" s="5" t="s">
        <v>937</v>
      </c>
      <c r="H44" s="5" t="s">
        <v>331</v>
      </c>
      <c r="I44" s="12" t="s">
        <v>30</v>
      </c>
    </row>
    <row r="45" customFormat="false" ht="15" hidden="false" customHeight="false" outlineLevel="0" collapsed="false">
      <c r="A45" s="18" t="str">
        <f aca="false">B45&amp;"|"&amp;D45</f>
        <v>T13|P02</v>
      </c>
      <c r="B45" s="13" t="s">
        <v>848</v>
      </c>
      <c r="C45" s="5" t="s">
        <v>849</v>
      </c>
      <c r="D45" s="13" t="s">
        <v>80</v>
      </c>
      <c r="E45" s="5" t="s">
        <v>814</v>
      </c>
      <c r="F45" s="13" t="s">
        <v>878</v>
      </c>
      <c r="G45" s="5" t="s">
        <v>938</v>
      </c>
      <c r="H45" s="5" t="s">
        <v>939</v>
      </c>
      <c r="I45" s="7" t="s">
        <v>20</v>
      </c>
    </row>
    <row r="46" customFormat="false" ht="15" hidden="false" customHeight="false" outlineLevel="0" collapsed="false">
      <c r="A46" s="18" t="str">
        <f aca="false">B46&amp;"|"&amp;D46</f>
        <v>T14|P08</v>
      </c>
      <c r="B46" s="13" t="s">
        <v>850</v>
      </c>
      <c r="C46" s="5" t="s">
        <v>851</v>
      </c>
      <c r="D46" s="13" t="s">
        <v>123</v>
      </c>
      <c r="E46" s="5" t="s">
        <v>816</v>
      </c>
      <c r="F46" s="13" t="s">
        <v>890</v>
      </c>
      <c r="G46" s="5" t="s">
        <v>940</v>
      </c>
      <c r="H46" s="5" t="s">
        <v>941</v>
      </c>
      <c r="I46" s="7" t="s">
        <v>20</v>
      </c>
    </row>
    <row r="47" customFormat="false" ht="15" hidden="false" customHeight="false" outlineLevel="0" collapsed="false">
      <c r="A47" s="18" t="str">
        <f aca="false">B47&amp;"|"&amp;D47</f>
        <v>T14|P09</v>
      </c>
      <c r="B47" s="13" t="s">
        <v>850</v>
      </c>
      <c r="C47" s="5" t="s">
        <v>851</v>
      </c>
      <c r="D47" s="13" t="s">
        <v>133</v>
      </c>
      <c r="E47" s="5" t="s">
        <v>817</v>
      </c>
      <c r="F47" s="13" t="s">
        <v>890</v>
      </c>
      <c r="G47" s="5" t="s">
        <v>942</v>
      </c>
      <c r="H47" s="5" t="s">
        <v>943</v>
      </c>
      <c r="I47" s="7" t="s">
        <v>20</v>
      </c>
    </row>
    <row r="48" customFormat="false" ht="15" hidden="false" customHeight="false" outlineLevel="0" collapsed="false">
      <c r="A48" s="18" t="str">
        <f aca="false">B48&amp;"|"&amp;D48</f>
        <v>T14|P07</v>
      </c>
      <c r="B48" s="13" t="s">
        <v>850</v>
      </c>
      <c r="C48" s="5" t="s">
        <v>851</v>
      </c>
      <c r="D48" s="13" t="s">
        <v>114</v>
      </c>
      <c r="E48" s="5" t="s">
        <v>815</v>
      </c>
      <c r="F48" s="13" t="s">
        <v>878</v>
      </c>
      <c r="G48" s="5" t="s">
        <v>937</v>
      </c>
      <c r="H48" s="5" t="s">
        <v>331</v>
      </c>
      <c r="I48" s="12" t="s">
        <v>30</v>
      </c>
    </row>
    <row r="49" customFormat="false" ht="23.85" hidden="false" customHeight="false" outlineLevel="0" collapsed="false">
      <c r="A49" s="18" t="str">
        <f aca="false">B49&amp;"|"&amp;D49</f>
        <v>T14|P05</v>
      </c>
      <c r="B49" s="13" t="s">
        <v>850</v>
      </c>
      <c r="C49" s="5" t="s">
        <v>851</v>
      </c>
      <c r="D49" s="13" t="s">
        <v>101</v>
      </c>
      <c r="E49" s="5" t="s">
        <v>811</v>
      </c>
      <c r="F49" s="13" t="s">
        <v>878</v>
      </c>
      <c r="G49" s="5" t="s">
        <v>944</v>
      </c>
      <c r="H49" s="5" t="s">
        <v>904</v>
      </c>
      <c r="I49" s="12" t="s">
        <v>30</v>
      </c>
    </row>
    <row r="50" customFormat="false" ht="15" hidden="false" customHeight="false" outlineLevel="0" collapsed="false">
      <c r="A50" s="18" t="str">
        <f aca="false">B50&amp;"|"&amp;D50</f>
        <v>T15|P08</v>
      </c>
      <c r="B50" s="13" t="s">
        <v>852</v>
      </c>
      <c r="C50" s="5" t="s">
        <v>853</v>
      </c>
      <c r="D50" s="13" t="s">
        <v>123</v>
      </c>
      <c r="E50" s="5" t="s">
        <v>816</v>
      </c>
      <c r="F50" s="13" t="s">
        <v>890</v>
      </c>
      <c r="G50" s="5" t="s">
        <v>945</v>
      </c>
      <c r="H50" s="5" t="s">
        <v>946</v>
      </c>
      <c r="I50" s="7" t="s">
        <v>20</v>
      </c>
    </row>
    <row r="51" customFormat="false" ht="15" hidden="false" customHeight="false" outlineLevel="0" collapsed="false">
      <c r="A51" s="18" t="str">
        <f aca="false">B51&amp;"|"&amp;D51</f>
        <v>T15|P09</v>
      </c>
      <c r="B51" s="13" t="s">
        <v>852</v>
      </c>
      <c r="C51" s="5" t="s">
        <v>853</v>
      </c>
      <c r="D51" s="13" t="s">
        <v>133</v>
      </c>
      <c r="E51" s="5" t="s">
        <v>817</v>
      </c>
      <c r="F51" s="13" t="s">
        <v>890</v>
      </c>
      <c r="G51" s="5" t="s">
        <v>947</v>
      </c>
      <c r="H51" s="5" t="s">
        <v>948</v>
      </c>
      <c r="I51" s="7" t="s">
        <v>20</v>
      </c>
    </row>
    <row r="52" customFormat="false" ht="15" hidden="false" customHeight="false" outlineLevel="0" collapsed="false">
      <c r="A52" s="18" t="str">
        <f aca="false">B52&amp;"|"&amp;D52</f>
        <v>T15|P07</v>
      </c>
      <c r="B52" s="13" t="s">
        <v>852</v>
      </c>
      <c r="C52" s="5" t="s">
        <v>853</v>
      </c>
      <c r="D52" s="13" t="s">
        <v>114</v>
      </c>
      <c r="E52" s="5" t="s">
        <v>815</v>
      </c>
      <c r="F52" s="13" t="s">
        <v>890</v>
      </c>
      <c r="G52" s="5" t="s">
        <v>949</v>
      </c>
      <c r="H52" s="5" t="s">
        <v>331</v>
      </c>
      <c r="I52" s="7" t="s">
        <v>20</v>
      </c>
    </row>
    <row r="53" customFormat="false" ht="15" hidden="false" customHeight="false" outlineLevel="0" collapsed="false">
      <c r="A53" s="18" t="str">
        <f aca="false">B53&amp;"|"&amp;D53</f>
        <v>T15|P05</v>
      </c>
      <c r="B53" s="13" t="s">
        <v>852</v>
      </c>
      <c r="C53" s="5" t="s">
        <v>853</v>
      </c>
      <c r="D53" s="13" t="s">
        <v>101</v>
      </c>
      <c r="E53" s="5" t="s">
        <v>811</v>
      </c>
      <c r="F53" s="13" t="s">
        <v>878</v>
      </c>
      <c r="G53" s="5" t="s">
        <v>950</v>
      </c>
      <c r="H53" s="5" t="s">
        <v>929</v>
      </c>
      <c r="I53" s="12" t="s">
        <v>30</v>
      </c>
    </row>
    <row r="54" customFormat="false" ht="15" hidden="false" customHeight="false" outlineLevel="0" collapsed="false">
      <c r="A54" s="18" t="str">
        <f aca="false">B54&amp;"|"&amp;D54</f>
        <v>T15|P10</v>
      </c>
      <c r="B54" s="13" t="s">
        <v>852</v>
      </c>
      <c r="C54" s="5" t="s">
        <v>853</v>
      </c>
      <c r="D54" s="13" t="s">
        <v>140</v>
      </c>
      <c r="E54" s="5" t="s">
        <v>818</v>
      </c>
      <c r="F54" s="13" t="s">
        <v>878</v>
      </c>
      <c r="G54" s="5" t="s">
        <v>951</v>
      </c>
      <c r="H54" s="5" t="s">
        <v>919</v>
      </c>
      <c r="I54" s="12" t="s">
        <v>30</v>
      </c>
    </row>
    <row r="55" customFormat="false" ht="15" hidden="false" customHeight="false" outlineLevel="0" collapsed="false">
      <c r="A55" s="18" t="str">
        <f aca="false">B55&amp;"|"&amp;D55</f>
        <v>T15|P11</v>
      </c>
      <c r="B55" s="13" t="s">
        <v>852</v>
      </c>
      <c r="C55" s="5" t="s">
        <v>853</v>
      </c>
      <c r="D55" s="13" t="s">
        <v>150</v>
      </c>
      <c r="E55" s="5" t="s">
        <v>368</v>
      </c>
      <c r="F55" s="13" t="s">
        <v>878</v>
      </c>
      <c r="G55" s="5" t="s">
        <v>952</v>
      </c>
      <c r="H55" s="5" t="s">
        <v>368</v>
      </c>
      <c r="I55" s="8" t="s">
        <v>22</v>
      </c>
    </row>
    <row r="56" customFormat="false" ht="15" hidden="false" customHeight="false" outlineLevel="0" collapsed="false">
      <c r="A56" s="18" t="str">
        <f aca="false">B56&amp;"|"&amp;D56</f>
        <v>T16|P08</v>
      </c>
      <c r="B56" s="13" t="s">
        <v>854</v>
      </c>
      <c r="C56" s="5" t="s">
        <v>855</v>
      </c>
      <c r="D56" s="13" t="s">
        <v>123</v>
      </c>
      <c r="E56" s="5" t="s">
        <v>816</v>
      </c>
      <c r="F56" s="13" t="s">
        <v>890</v>
      </c>
      <c r="G56" s="5" t="s">
        <v>953</v>
      </c>
      <c r="H56" s="5" t="s">
        <v>954</v>
      </c>
      <c r="I56" s="8" t="s">
        <v>22</v>
      </c>
    </row>
    <row r="57" customFormat="false" ht="15" hidden="false" customHeight="false" outlineLevel="0" collapsed="false">
      <c r="A57" s="18" t="str">
        <f aca="false">B57&amp;"|"&amp;D57</f>
        <v>T16|P16</v>
      </c>
      <c r="B57" s="13" t="s">
        <v>854</v>
      </c>
      <c r="C57" s="5" t="s">
        <v>855</v>
      </c>
      <c r="D57" s="13" t="s">
        <v>200</v>
      </c>
      <c r="E57" s="5" t="s">
        <v>822</v>
      </c>
      <c r="F57" s="13" t="s">
        <v>878</v>
      </c>
      <c r="G57" s="5" t="s">
        <v>955</v>
      </c>
      <c r="H57" s="5" t="s">
        <v>956</v>
      </c>
      <c r="I57" s="12" t="s">
        <v>30</v>
      </c>
    </row>
    <row r="58" customFormat="false" ht="15" hidden="false" customHeight="false" outlineLevel="0" collapsed="false">
      <c r="A58" s="18" t="str">
        <f aca="false">B58&amp;"|"&amp;D58</f>
        <v>T16|P07</v>
      </c>
      <c r="B58" s="13" t="s">
        <v>854</v>
      </c>
      <c r="C58" s="5" t="s">
        <v>855</v>
      </c>
      <c r="D58" s="13" t="s">
        <v>114</v>
      </c>
      <c r="E58" s="5" t="s">
        <v>815</v>
      </c>
      <c r="F58" s="13" t="s">
        <v>890</v>
      </c>
      <c r="G58" s="5" t="s">
        <v>957</v>
      </c>
      <c r="H58" s="5" t="s">
        <v>331</v>
      </c>
      <c r="I58" s="7" t="s">
        <v>20</v>
      </c>
    </row>
    <row r="59" customFormat="false" ht="15" hidden="false" customHeight="false" outlineLevel="0" collapsed="false">
      <c r="A59" s="18" t="str">
        <f aca="false">B59&amp;"|"&amp;D59</f>
        <v>T17|P08</v>
      </c>
      <c r="B59" s="13" t="s">
        <v>856</v>
      </c>
      <c r="C59" s="5" t="s">
        <v>857</v>
      </c>
      <c r="D59" s="13" t="s">
        <v>123</v>
      </c>
      <c r="E59" s="5" t="s">
        <v>816</v>
      </c>
      <c r="F59" s="13" t="s">
        <v>890</v>
      </c>
      <c r="G59" s="5" t="s">
        <v>958</v>
      </c>
      <c r="H59" s="5" t="s">
        <v>954</v>
      </c>
      <c r="I59" s="12" t="s">
        <v>30</v>
      </c>
    </row>
    <row r="60" customFormat="false" ht="15" hidden="false" customHeight="false" outlineLevel="0" collapsed="false">
      <c r="A60" s="18" t="str">
        <f aca="false">B60&amp;"|"&amp;D60</f>
        <v>T17|P09</v>
      </c>
      <c r="B60" s="13" t="s">
        <v>856</v>
      </c>
      <c r="C60" s="5" t="s">
        <v>857</v>
      </c>
      <c r="D60" s="13" t="s">
        <v>133</v>
      </c>
      <c r="E60" s="5" t="s">
        <v>817</v>
      </c>
      <c r="F60" s="13" t="s">
        <v>890</v>
      </c>
      <c r="G60" s="5" t="s">
        <v>947</v>
      </c>
      <c r="H60" s="5" t="s">
        <v>948</v>
      </c>
      <c r="I60" s="7" t="s">
        <v>20</v>
      </c>
    </row>
    <row r="61" customFormat="false" ht="15" hidden="false" customHeight="false" outlineLevel="0" collapsed="false">
      <c r="A61" s="18" t="str">
        <f aca="false">B61&amp;"|"&amp;D61</f>
        <v>T17|P07</v>
      </c>
      <c r="B61" s="13" t="s">
        <v>856</v>
      </c>
      <c r="C61" s="5" t="s">
        <v>857</v>
      </c>
      <c r="D61" s="13" t="s">
        <v>114</v>
      </c>
      <c r="E61" s="5" t="s">
        <v>815</v>
      </c>
      <c r="F61" s="13" t="s">
        <v>890</v>
      </c>
      <c r="G61" s="5" t="s">
        <v>959</v>
      </c>
      <c r="H61" s="5" t="s">
        <v>331</v>
      </c>
      <c r="I61" s="12" t="s">
        <v>30</v>
      </c>
    </row>
    <row r="62" customFormat="false" ht="15" hidden="false" customHeight="false" outlineLevel="0" collapsed="false">
      <c r="A62" s="18" t="str">
        <f aca="false">B62&amp;"|"&amp;D62</f>
        <v>T17|P11</v>
      </c>
      <c r="B62" s="13" t="s">
        <v>856</v>
      </c>
      <c r="C62" s="5" t="s">
        <v>857</v>
      </c>
      <c r="D62" s="13" t="s">
        <v>150</v>
      </c>
      <c r="E62" s="5" t="s">
        <v>368</v>
      </c>
      <c r="F62" s="13" t="s">
        <v>878</v>
      </c>
      <c r="G62" s="5" t="s">
        <v>960</v>
      </c>
      <c r="H62" s="5" t="s">
        <v>368</v>
      </c>
      <c r="I62" s="8" t="s">
        <v>22</v>
      </c>
    </row>
    <row r="63" customFormat="false" ht="15" hidden="false" customHeight="false" outlineLevel="0" collapsed="false">
      <c r="A63" s="18" t="str">
        <f aca="false">B63&amp;"|"&amp;D63</f>
        <v>T17|P02</v>
      </c>
      <c r="B63" s="13" t="s">
        <v>856</v>
      </c>
      <c r="C63" s="5" t="s">
        <v>857</v>
      </c>
      <c r="D63" s="13" t="s">
        <v>80</v>
      </c>
      <c r="E63" s="5" t="s">
        <v>814</v>
      </c>
      <c r="F63" s="13" t="s">
        <v>878</v>
      </c>
      <c r="G63" s="5" t="s">
        <v>961</v>
      </c>
      <c r="H63" s="5" t="s">
        <v>939</v>
      </c>
      <c r="I63" s="7" t="s">
        <v>20</v>
      </c>
    </row>
    <row r="64" customFormat="false" ht="23.85" hidden="false" customHeight="false" outlineLevel="0" collapsed="false">
      <c r="A64" s="18" t="str">
        <f aca="false">B64&amp;"|"&amp;D64</f>
        <v>T18|P08</v>
      </c>
      <c r="B64" s="13" t="s">
        <v>858</v>
      </c>
      <c r="C64" s="5" t="s">
        <v>859</v>
      </c>
      <c r="D64" s="13" t="s">
        <v>123</v>
      </c>
      <c r="E64" s="5" t="s">
        <v>816</v>
      </c>
      <c r="F64" s="13" t="s">
        <v>890</v>
      </c>
      <c r="G64" s="5" t="s">
        <v>962</v>
      </c>
      <c r="H64" s="5" t="s">
        <v>946</v>
      </c>
      <c r="I64" s="7" t="s">
        <v>20</v>
      </c>
    </row>
    <row r="65" customFormat="false" ht="23.85" hidden="false" customHeight="false" outlineLevel="0" collapsed="false">
      <c r="A65" s="18" t="str">
        <f aca="false">B65&amp;"|"&amp;D65</f>
        <v>T18|P09</v>
      </c>
      <c r="B65" s="13" t="s">
        <v>858</v>
      </c>
      <c r="C65" s="5" t="s">
        <v>859</v>
      </c>
      <c r="D65" s="13" t="s">
        <v>133</v>
      </c>
      <c r="E65" s="5" t="s">
        <v>817</v>
      </c>
      <c r="F65" s="13" t="s">
        <v>890</v>
      </c>
      <c r="G65" s="5" t="s">
        <v>963</v>
      </c>
      <c r="H65" s="5" t="s">
        <v>964</v>
      </c>
      <c r="I65" s="7" t="s">
        <v>20</v>
      </c>
    </row>
    <row r="66" customFormat="false" ht="23.85" hidden="false" customHeight="false" outlineLevel="0" collapsed="false">
      <c r="A66" s="18" t="str">
        <f aca="false">B66&amp;"|"&amp;D66</f>
        <v>T18|P07</v>
      </c>
      <c r="B66" s="13" t="s">
        <v>858</v>
      </c>
      <c r="C66" s="5" t="s">
        <v>859</v>
      </c>
      <c r="D66" s="13" t="s">
        <v>114</v>
      </c>
      <c r="E66" s="5" t="s">
        <v>815</v>
      </c>
      <c r="F66" s="13" t="s">
        <v>890</v>
      </c>
      <c r="G66" s="5" t="s">
        <v>965</v>
      </c>
      <c r="H66" s="5" t="s">
        <v>331</v>
      </c>
      <c r="I66" s="7" t="s">
        <v>20</v>
      </c>
    </row>
    <row r="67" customFormat="false" ht="23.85" hidden="false" customHeight="false" outlineLevel="0" collapsed="false">
      <c r="A67" s="18" t="str">
        <f aca="false">B67&amp;"|"&amp;D67</f>
        <v>T18|P05</v>
      </c>
      <c r="B67" s="13" t="s">
        <v>858</v>
      </c>
      <c r="C67" s="5" t="s">
        <v>859</v>
      </c>
      <c r="D67" s="13" t="s">
        <v>101</v>
      </c>
      <c r="E67" s="5" t="s">
        <v>811</v>
      </c>
      <c r="F67" s="13" t="s">
        <v>878</v>
      </c>
      <c r="G67" s="5" t="s">
        <v>966</v>
      </c>
      <c r="H67" s="5" t="s">
        <v>967</v>
      </c>
      <c r="I67" s="7" t="s">
        <v>20</v>
      </c>
    </row>
    <row r="68" customFormat="false" ht="23.85" hidden="false" customHeight="false" outlineLevel="0" collapsed="false">
      <c r="A68" s="18" t="str">
        <f aca="false">B68&amp;"|"&amp;D68</f>
        <v>T18|P10</v>
      </c>
      <c r="B68" s="13" t="s">
        <v>858</v>
      </c>
      <c r="C68" s="5" t="s">
        <v>859</v>
      </c>
      <c r="D68" s="13" t="s">
        <v>140</v>
      </c>
      <c r="E68" s="5" t="s">
        <v>818</v>
      </c>
      <c r="F68" s="13" t="s">
        <v>878</v>
      </c>
      <c r="G68" s="5" t="s">
        <v>951</v>
      </c>
      <c r="H68" s="5" t="s">
        <v>919</v>
      </c>
      <c r="I68" s="12" t="s">
        <v>30</v>
      </c>
    </row>
    <row r="69" customFormat="false" ht="23.85" hidden="false" customHeight="false" outlineLevel="0" collapsed="false">
      <c r="A69" s="18" t="str">
        <f aca="false">B69&amp;"|"&amp;D69</f>
        <v>T18|P11</v>
      </c>
      <c r="B69" s="13" t="s">
        <v>858</v>
      </c>
      <c r="C69" s="5" t="s">
        <v>859</v>
      </c>
      <c r="D69" s="13" t="s">
        <v>150</v>
      </c>
      <c r="E69" s="5" t="s">
        <v>368</v>
      </c>
      <c r="F69" s="13" t="s">
        <v>878</v>
      </c>
      <c r="G69" s="5" t="s">
        <v>968</v>
      </c>
      <c r="H69" s="5" t="s">
        <v>368</v>
      </c>
      <c r="I69" s="8" t="s">
        <v>22</v>
      </c>
    </row>
    <row r="70" customFormat="false" ht="15" hidden="false" customHeight="false" outlineLevel="0" collapsed="false">
      <c r="A70" s="18" t="str">
        <f aca="false">B70&amp;"|"&amp;D70</f>
        <v>T19|P08</v>
      </c>
      <c r="B70" s="13" t="s">
        <v>860</v>
      </c>
      <c r="C70" s="5" t="s">
        <v>861</v>
      </c>
      <c r="D70" s="13" t="s">
        <v>123</v>
      </c>
      <c r="E70" s="5" t="s">
        <v>816</v>
      </c>
      <c r="F70" s="13" t="s">
        <v>881</v>
      </c>
      <c r="G70" s="5" t="s">
        <v>969</v>
      </c>
      <c r="H70" s="5" t="s">
        <v>970</v>
      </c>
      <c r="I70" s="7" t="s">
        <v>20</v>
      </c>
    </row>
    <row r="71" customFormat="false" ht="15" hidden="false" customHeight="false" outlineLevel="0" collapsed="false">
      <c r="A71" s="18" t="str">
        <f aca="false">B71&amp;"|"&amp;D71</f>
        <v>T19|P09</v>
      </c>
      <c r="B71" s="13" t="s">
        <v>860</v>
      </c>
      <c r="C71" s="5" t="s">
        <v>861</v>
      </c>
      <c r="D71" s="13" t="s">
        <v>133</v>
      </c>
      <c r="E71" s="5" t="s">
        <v>817</v>
      </c>
      <c r="F71" s="13" t="s">
        <v>881</v>
      </c>
      <c r="G71" s="5" t="s">
        <v>969</v>
      </c>
      <c r="H71" s="5" t="s">
        <v>971</v>
      </c>
      <c r="I71" s="7" t="s">
        <v>20</v>
      </c>
    </row>
    <row r="72" customFormat="false" ht="15" hidden="false" customHeight="false" outlineLevel="0" collapsed="false">
      <c r="A72" s="18" t="str">
        <f aca="false">B72&amp;"|"&amp;D72</f>
        <v>T19|P07</v>
      </c>
      <c r="B72" s="13" t="s">
        <v>860</v>
      </c>
      <c r="C72" s="5" t="s">
        <v>861</v>
      </c>
      <c r="D72" s="13" t="s">
        <v>114</v>
      </c>
      <c r="E72" s="5" t="s">
        <v>815</v>
      </c>
      <c r="F72" s="13" t="s">
        <v>878</v>
      </c>
      <c r="G72" s="5" t="s">
        <v>972</v>
      </c>
      <c r="H72" s="5" t="s">
        <v>331</v>
      </c>
      <c r="I72" s="12" t="s">
        <v>30</v>
      </c>
    </row>
    <row r="73" customFormat="false" ht="15" hidden="false" customHeight="false" outlineLevel="0" collapsed="false">
      <c r="A73" s="18" t="str">
        <f aca="false">B73&amp;"|"&amp;D73</f>
        <v>T19|P10</v>
      </c>
      <c r="B73" s="13" t="s">
        <v>860</v>
      </c>
      <c r="C73" s="5" t="s">
        <v>861</v>
      </c>
      <c r="D73" s="13" t="s">
        <v>140</v>
      </c>
      <c r="E73" s="5" t="s">
        <v>818</v>
      </c>
      <c r="F73" s="13" t="s">
        <v>878</v>
      </c>
      <c r="G73" s="5" t="s">
        <v>973</v>
      </c>
      <c r="H73" s="5" t="s">
        <v>919</v>
      </c>
      <c r="I73" s="12" t="s">
        <v>30</v>
      </c>
    </row>
    <row r="74" customFormat="false" ht="15" hidden="false" customHeight="false" outlineLevel="0" collapsed="false">
      <c r="A74" s="18" t="str">
        <f aca="false">B74&amp;"|"&amp;D74</f>
        <v>T20|P14</v>
      </c>
      <c r="B74" s="13" t="s">
        <v>862</v>
      </c>
      <c r="C74" s="5" t="s">
        <v>863</v>
      </c>
      <c r="D74" s="13" t="s">
        <v>179</v>
      </c>
      <c r="E74" s="5" t="s">
        <v>820</v>
      </c>
      <c r="F74" s="13" t="s">
        <v>890</v>
      </c>
      <c r="G74" s="5" t="s">
        <v>974</v>
      </c>
      <c r="H74" s="5" t="s">
        <v>975</v>
      </c>
      <c r="I74" s="8" t="s">
        <v>22</v>
      </c>
    </row>
    <row r="75" customFormat="false" ht="15" hidden="false" customHeight="false" outlineLevel="0" collapsed="false">
      <c r="A75" s="18" t="str">
        <f aca="false">B75&amp;"|"&amp;D75</f>
        <v>T20|P02</v>
      </c>
      <c r="B75" s="13" t="s">
        <v>862</v>
      </c>
      <c r="C75" s="5" t="s">
        <v>863</v>
      </c>
      <c r="D75" s="13" t="s">
        <v>80</v>
      </c>
      <c r="E75" s="5" t="s">
        <v>814</v>
      </c>
      <c r="F75" s="13" t="s">
        <v>878</v>
      </c>
      <c r="G75" s="5" t="s">
        <v>976</v>
      </c>
      <c r="H75" s="5" t="s">
        <v>939</v>
      </c>
      <c r="I75" s="7" t="s">
        <v>20</v>
      </c>
    </row>
    <row r="76" customFormat="false" ht="15" hidden="false" customHeight="false" outlineLevel="0" collapsed="false">
      <c r="A76" s="18" t="str">
        <f aca="false">B76&amp;"|"&amp;D76</f>
        <v>T20|P05</v>
      </c>
      <c r="B76" s="13" t="s">
        <v>862</v>
      </c>
      <c r="C76" s="5" t="s">
        <v>863</v>
      </c>
      <c r="D76" s="13" t="s">
        <v>101</v>
      </c>
      <c r="E76" s="5" t="s">
        <v>811</v>
      </c>
      <c r="F76" s="13" t="s">
        <v>878</v>
      </c>
      <c r="G76" s="5" t="s">
        <v>977</v>
      </c>
      <c r="H76" s="5" t="s">
        <v>978</v>
      </c>
      <c r="I76" s="12" t="s">
        <v>30</v>
      </c>
    </row>
    <row r="77" customFormat="false" ht="15" hidden="false" customHeight="false" outlineLevel="0" collapsed="false">
      <c r="A77" s="18" t="str">
        <f aca="false">B77&amp;"|"&amp;D77</f>
        <v>T20|P13</v>
      </c>
      <c r="B77" s="13" t="s">
        <v>862</v>
      </c>
      <c r="C77" s="5" t="s">
        <v>863</v>
      </c>
      <c r="D77" s="13" t="s">
        <v>167</v>
      </c>
      <c r="E77" s="5" t="s">
        <v>819</v>
      </c>
      <c r="F77" s="13" t="s">
        <v>878</v>
      </c>
      <c r="G77" s="5" t="s">
        <v>979</v>
      </c>
      <c r="H77" s="5" t="s">
        <v>980</v>
      </c>
      <c r="I77" s="8" t="s">
        <v>22</v>
      </c>
    </row>
    <row r="78" customFormat="false" ht="23.85" hidden="false" customHeight="false" outlineLevel="0" collapsed="false">
      <c r="A78" s="18" t="str">
        <f aca="false">B78&amp;"|"&amp;D78</f>
        <v>T21|P14</v>
      </c>
      <c r="B78" s="13" t="s">
        <v>864</v>
      </c>
      <c r="C78" s="5" t="s">
        <v>865</v>
      </c>
      <c r="D78" s="13" t="s">
        <v>179</v>
      </c>
      <c r="E78" s="5" t="s">
        <v>820</v>
      </c>
      <c r="F78" s="13" t="s">
        <v>890</v>
      </c>
      <c r="G78" s="5" t="s">
        <v>981</v>
      </c>
      <c r="H78" s="5" t="s">
        <v>387</v>
      </c>
      <c r="I78" s="8" t="s">
        <v>22</v>
      </c>
    </row>
    <row r="79" customFormat="false" ht="23.85" hidden="false" customHeight="false" outlineLevel="0" collapsed="false">
      <c r="A79" s="18" t="str">
        <f aca="false">B79&amp;"|"&amp;D79</f>
        <v>T21|P01</v>
      </c>
      <c r="B79" s="13" t="s">
        <v>864</v>
      </c>
      <c r="C79" s="5" t="s">
        <v>865</v>
      </c>
      <c r="D79" s="13" t="s">
        <v>68</v>
      </c>
      <c r="E79" s="5" t="s">
        <v>813</v>
      </c>
      <c r="F79" s="13" t="s">
        <v>878</v>
      </c>
      <c r="G79" s="5" t="s">
        <v>982</v>
      </c>
      <c r="H79" s="5" t="s">
        <v>983</v>
      </c>
      <c r="I79" s="7" t="s">
        <v>20</v>
      </c>
    </row>
    <row r="80" customFormat="false" ht="23.85" hidden="false" customHeight="false" outlineLevel="0" collapsed="false">
      <c r="A80" s="18" t="str">
        <f aca="false">B80&amp;"|"&amp;D80</f>
        <v>T21|P05</v>
      </c>
      <c r="B80" s="13" t="s">
        <v>864</v>
      </c>
      <c r="C80" s="5" t="s">
        <v>865</v>
      </c>
      <c r="D80" s="13" t="s">
        <v>101</v>
      </c>
      <c r="E80" s="5" t="s">
        <v>811</v>
      </c>
      <c r="F80" s="13" t="s">
        <v>878</v>
      </c>
      <c r="G80" s="5" t="s">
        <v>984</v>
      </c>
      <c r="H80" s="5" t="s">
        <v>904</v>
      </c>
      <c r="I80" s="7" t="s">
        <v>20</v>
      </c>
    </row>
    <row r="81" customFormat="false" ht="23.85" hidden="false" customHeight="false" outlineLevel="0" collapsed="false">
      <c r="A81" s="18" t="str">
        <f aca="false">B81&amp;"|"&amp;D81</f>
        <v>T21|P04</v>
      </c>
      <c r="B81" s="13" t="s">
        <v>864</v>
      </c>
      <c r="C81" s="5" t="s">
        <v>865</v>
      </c>
      <c r="D81" s="13" t="s">
        <v>96</v>
      </c>
      <c r="E81" s="5" t="s">
        <v>810</v>
      </c>
      <c r="F81" s="13" t="s">
        <v>878</v>
      </c>
      <c r="G81" s="5" t="s">
        <v>985</v>
      </c>
      <c r="H81" s="5" t="s">
        <v>986</v>
      </c>
      <c r="I81" s="10" t="s">
        <v>257</v>
      </c>
    </row>
    <row r="82" customFormat="false" ht="15" hidden="false" customHeight="false" outlineLevel="0" collapsed="false">
      <c r="A82" s="18" t="str">
        <f aca="false">B82&amp;"|"&amp;D82</f>
        <v>T22|P10</v>
      </c>
      <c r="B82" s="13" t="s">
        <v>866</v>
      </c>
      <c r="C82" s="5" t="s">
        <v>867</v>
      </c>
      <c r="D82" s="13" t="s">
        <v>140</v>
      </c>
      <c r="E82" s="5" t="s">
        <v>818</v>
      </c>
      <c r="F82" s="13" t="s">
        <v>890</v>
      </c>
      <c r="G82" s="5" t="s">
        <v>987</v>
      </c>
      <c r="H82" s="5" t="s">
        <v>919</v>
      </c>
      <c r="I82" s="7" t="s">
        <v>20</v>
      </c>
    </row>
    <row r="83" customFormat="false" ht="15" hidden="false" customHeight="false" outlineLevel="0" collapsed="false">
      <c r="A83" s="18" t="str">
        <f aca="false">B83&amp;"|"&amp;D83</f>
        <v>T22|P08</v>
      </c>
      <c r="B83" s="13" t="s">
        <v>866</v>
      </c>
      <c r="C83" s="5" t="s">
        <v>867</v>
      </c>
      <c r="D83" s="13" t="s">
        <v>123</v>
      </c>
      <c r="E83" s="5" t="s">
        <v>816</v>
      </c>
      <c r="F83" s="13" t="s">
        <v>881</v>
      </c>
      <c r="G83" s="5" t="s">
        <v>988</v>
      </c>
      <c r="H83" s="5" t="s">
        <v>989</v>
      </c>
      <c r="I83" s="12" t="s">
        <v>30</v>
      </c>
    </row>
    <row r="84" customFormat="false" ht="15" hidden="false" customHeight="false" outlineLevel="0" collapsed="false">
      <c r="A84" s="18" t="str">
        <f aca="false">B84&amp;"|"&amp;D84</f>
        <v>T22|P04</v>
      </c>
      <c r="B84" s="13" t="s">
        <v>866</v>
      </c>
      <c r="C84" s="5" t="s">
        <v>867</v>
      </c>
      <c r="D84" s="13" t="s">
        <v>96</v>
      </c>
      <c r="E84" s="5" t="s">
        <v>810</v>
      </c>
      <c r="F84" s="13" t="s">
        <v>881</v>
      </c>
      <c r="G84" s="5" t="s">
        <v>990</v>
      </c>
      <c r="H84" s="5" t="s">
        <v>455</v>
      </c>
      <c r="I84" s="7" t="s">
        <v>20</v>
      </c>
    </row>
  </sheetData>
  <autoFilter ref="A4:I8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44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1" t="s">
        <v>991</v>
      </c>
    </row>
    <row r="2" customFormat="false" ht="15" hidden="false" customHeight="false" outlineLevel="0" collapsed="false">
      <c r="A2" s="2" t="s">
        <v>992</v>
      </c>
    </row>
    <row r="4" customFormat="false" ht="30" hidden="false" customHeight="true" outlineLevel="0" collapsed="false">
      <c r="A4" s="3" t="s">
        <v>993</v>
      </c>
      <c r="B4" s="3" t="s">
        <v>994</v>
      </c>
      <c r="C4" s="3" t="s">
        <v>995</v>
      </c>
      <c r="D4" s="3" t="s">
        <v>996</v>
      </c>
      <c r="E4" s="3" t="s">
        <v>997</v>
      </c>
      <c r="F4" s="3" t="s">
        <v>998</v>
      </c>
      <c r="G4" s="3" t="s">
        <v>999</v>
      </c>
      <c r="H4" s="3" t="s">
        <v>1000</v>
      </c>
      <c r="I4" s="3" t="s">
        <v>66</v>
      </c>
      <c r="J4" s="3" t="s">
        <v>64</v>
      </c>
    </row>
    <row r="5" customFormat="false" ht="23.85" hidden="false" customHeight="false" outlineLevel="0" collapsed="false">
      <c r="A5" s="19" t="n">
        <v>1</v>
      </c>
      <c r="B5" s="13" t="n">
        <f aca="false">COUNTIF(İller!$C$5:$C$85,A5)</f>
        <v>8</v>
      </c>
      <c r="C5" s="20" t="n">
        <f aca="false">IF(A5&lt;=2,'Parasal Eşikler 2026'!$G$7,'Parasal Eşikler 2026'!$G$8)</f>
        <v>15100000</v>
      </c>
      <c r="D5" s="13" t="n">
        <v>0</v>
      </c>
      <c r="E5" s="13" t="s">
        <v>164</v>
      </c>
      <c r="F5" s="13" t="s">
        <v>1001</v>
      </c>
      <c r="G5" s="13" t="s">
        <v>1001</v>
      </c>
      <c r="H5" s="5" t="s">
        <v>1002</v>
      </c>
      <c r="I5" s="5" t="s">
        <v>1003</v>
      </c>
      <c r="J5" s="5" t="s">
        <v>1004</v>
      </c>
    </row>
    <row r="6" customFormat="false" ht="23.85" hidden="false" customHeight="false" outlineLevel="0" collapsed="false">
      <c r="A6" s="19" t="n">
        <v>2</v>
      </c>
      <c r="B6" s="13" t="n">
        <f aca="false">COUNTIF(İller!$C$5:$C$85,A6)</f>
        <v>13</v>
      </c>
      <c r="C6" s="20" t="n">
        <f aca="false">IF(A6&lt;=2,'Parasal Eşikler 2026'!$G$7,'Parasal Eşikler 2026'!$G$8)</f>
        <v>15100000</v>
      </c>
      <c r="D6" s="13" t="n">
        <v>1</v>
      </c>
      <c r="E6" s="13" t="s">
        <v>1005</v>
      </c>
      <c r="F6" s="13" t="s">
        <v>1001</v>
      </c>
      <c r="G6" s="13" t="s">
        <v>1001</v>
      </c>
      <c r="H6" s="5" t="s">
        <v>1002</v>
      </c>
      <c r="I6" s="5"/>
      <c r="J6" s="5" t="s">
        <v>1004</v>
      </c>
    </row>
    <row r="7" customFormat="false" ht="23.85" hidden="false" customHeight="false" outlineLevel="0" collapsed="false">
      <c r="A7" s="19" t="n">
        <v>3</v>
      </c>
      <c r="B7" s="13" t="n">
        <f aca="false">COUNTIF(İller!$C$5:$C$85,A7)</f>
        <v>17</v>
      </c>
      <c r="C7" s="20" t="n">
        <f aca="false">IF(A7&lt;=2,'Parasal Eşikler 2026'!$G$7,'Parasal Eşikler 2026'!$G$8)</f>
        <v>7500000</v>
      </c>
      <c r="D7" s="13" t="n">
        <v>2</v>
      </c>
      <c r="E7" s="13" t="s">
        <v>1005</v>
      </c>
      <c r="F7" s="13" t="s">
        <v>1001</v>
      </c>
      <c r="G7" s="13" t="s">
        <v>1001</v>
      </c>
      <c r="H7" s="5" t="s">
        <v>1002</v>
      </c>
      <c r="I7" s="5"/>
      <c r="J7" s="5" t="s">
        <v>1004</v>
      </c>
    </row>
    <row r="8" customFormat="false" ht="23.85" hidden="false" customHeight="false" outlineLevel="0" collapsed="false">
      <c r="A8" s="19" t="n">
        <v>4</v>
      </c>
      <c r="B8" s="13" t="n">
        <f aca="false">COUNTIF(İller!$C$5:$C$85,A8)</f>
        <v>11</v>
      </c>
      <c r="C8" s="20" t="n">
        <f aca="false">IF(A8&lt;=2,'Parasal Eşikler 2026'!$G$7,'Parasal Eşikler 2026'!$G$8)</f>
        <v>7500000</v>
      </c>
      <c r="D8" s="13" t="n">
        <v>4</v>
      </c>
      <c r="E8" s="13" t="s">
        <v>1005</v>
      </c>
      <c r="F8" s="13" t="s">
        <v>1001</v>
      </c>
      <c r="G8" s="13" t="s">
        <v>1006</v>
      </c>
      <c r="H8" s="5" t="s">
        <v>1002</v>
      </c>
      <c r="I8" s="5"/>
      <c r="J8" s="5" t="s">
        <v>1004</v>
      </c>
    </row>
    <row r="9" customFormat="false" ht="23.85" hidden="false" customHeight="false" outlineLevel="0" collapsed="false">
      <c r="A9" s="19" t="n">
        <v>5</v>
      </c>
      <c r="B9" s="13" t="n">
        <f aca="false">COUNTIF(İller!$C$5:$C$85,A9)</f>
        <v>15</v>
      </c>
      <c r="C9" s="20" t="n">
        <f aca="false">IF(A9&lt;=2,'Parasal Eşikler 2026'!$G$7,'Parasal Eşikler 2026'!$G$8)</f>
        <v>7500000</v>
      </c>
      <c r="D9" s="13" t="n">
        <v>8</v>
      </c>
      <c r="E9" s="13" t="s">
        <v>1005</v>
      </c>
      <c r="F9" s="13" t="s">
        <v>1001</v>
      </c>
      <c r="G9" s="13" t="s">
        <v>1006</v>
      </c>
      <c r="H9" s="5" t="s">
        <v>1002</v>
      </c>
      <c r="I9" s="5"/>
      <c r="J9" s="5" t="s">
        <v>1004</v>
      </c>
    </row>
    <row r="10" customFormat="false" ht="15" hidden="false" customHeight="false" outlineLevel="0" collapsed="false">
      <c r="A10" s="19" t="n">
        <v>6</v>
      </c>
      <c r="B10" s="13" t="n">
        <f aca="false">COUNTIF(İller!$C$5:$C$85,A10)</f>
        <v>17</v>
      </c>
      <c r="C10" s="20" t="n">
        <f aca="false">IF(A10&lt;=2,'Parasal Eşikler 2026'!$G$7,'Parasal Eşikler 2026'!$G$8)</f>
        <v>7500000</v>
      </c>
      <c r="D10" s="13" t="n">
        <v>12</v>
      </c>
      <c r="E10" s="13" t="s">
        <v>1007</v>
      </c>
      <c r="F10" s="13" t="s">
        <v>1008</v>
      </c>
      <c r="G10" s="13" t="s">
        <v>1006</v>
      </c>
      <c r="H10" s="5" t="s">
        <v>1009</v>
      </c>
      <c r="I10" s="5" t="s">
        <v>1010</v>
      </c>
      <c r="J10" s="5" t="s">
        <v>1004</v>
      </c>
    </row>
    <row r="12" customFormat="false" ht="23.85" hidden="false" customHeight="false" outlineLevel="0" collapsed="false">
      <c r="A12" s="4" t="s">
        <v>1011</v>
      </c>
      <c r="B12" s="5"/>
      <c r="C12" s="5"/>
      <c r="D12" s="13" t="s">
        <v>1012</v>
      </c>
      <c r="E12" s="5"/>
      <c r="F12" s="5"/>
      <c r="G12" s="5"/>
      <c r="H12" s="5"/>
      <c r="I12" s="5" t="s">
        <v>1013</v>
      </c>
      <c r="J12" s="5"/>
    </row>
  </sheetData>
  <autoFilter ref="A4:J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6" min="5" style="0" width="10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10" min="9" style="0" width="34"/>
    <col collapsed="false" customWidth="true" hidden="false" outlineLevel="0" max="11" min="11" style="0" width="60"/>
    <col collapsed="false" customWidth="true" hidden="false" outlineLevel="0" max="12" min="12" style="0" width="30"/>
    <col collapsed="false" customWidth="true" hidden="false" outlineLevel="0" max="14" min="13" style="0" width="26"/>
    <col collapsed="false" customWidth="true" hidden="false" outlineLevel="0" max="15" min="15" style="0" width="16"/>
    <col collapsed="false" customWidth="true" hidden="false" outlineLevel="0" max="16" min="16" style="0" width="26"/>
    <col collapsed="false" customWidth="true" hidden="false" outlineLevel="0" max="17" min="17" style="0" width="22"/>
    <col collapsed="false" customWidth="true" hidden="false" outlineLevel="0" max="18" min="18" style="0" width="18"/>
    <col collapsed="false" customWidth="true" hidden="false" outlineLevel="0" max="19" min="19" style="0" width="30"/>
  </cols>
  <sheetData>
    <row r="1" customFormat="false" ht="17.35" hidden="false" customHeight="false" outlineLevel="0" collapsed="false">
      <c r="A1" s="1" t="s">
        <v>1014</v>
      </c>
    </row>
    <row r="2" customFormat="false" ht="15" hidden="false" customHeight="false" outlineLevel="0" collapsed="false">
      <c r="A2" s="2" t="s">
        <v>1015</v>
      </c>
    </row>
    <row r="4" customFormat="false" ht="30" hidden="false" customHeight="true" outlineLevel="0" collapsed="false">
      <c r="A4" s="3" t="s">
        <v>1016</v>
      </c>
      <c r="B4" s="3" t="s">
        <v>1017</v>
      </c>
      <c r="C4" s="3" t="s">
        <v>1018</v>
      </c>
      <c r="D4" s="3" t="s">
        <v>995</v>
      </c>
      <c r="E4" s="3" t="s">
        <v>1019</v>
      </c>
      <c r="F4" s="3" t="s">
        <v>999</v>
      </c>
      <c r="G4" s="3" t="s">
        <v>1020</v>
      </c>
      <c r="H4" s="3" t="s">
        <v>1021</v>
      </c>
      <c r="I4" s="3" t="s">
        <v>1022</v>
      </c>
      <c r="J4" s="3" t="s">
        <v>1023</v>
      </c>
      <c r="K4" s="3" t="s">
        <v>1024</v>
      </c>
      <c r="L4" s="3" t="s">
        <v>1025</v>
      </c>
      <c r="M4" s="3" t="s">
        <v>1026</v>
      </c>
      <c r="N4" s="3" t="s">
        <v>1027</v>
      </c>
      <c r="O4" s="3" t="s">
        <v>1028</v>
      </c>
      <c r="P4" s="3" t="s">
        <v>1029</v>
      </c>
      <c r="Q4" s="3" t="s">
        <v>1030</v>
      </c>
      <c r="R4" s="3" t="s">
        <v>1031</v>
      </c>
      <c r="S4" s="3" t="s">
        <v>1032</v>
      </c>
    </row>
    <row r="5" customFormat="false" ht="35.05" hidden="false" customHeight="false" outlineLevel="0" collapsed="false">
      <c r="A5" s="21" t="n">
        <v>1</v>
      </c>
      <c r="B5" s="4" t="s">
        <v>1033</v>
      </c>
      <c r="C5" s="19" t="n">
        <v>3</v>
      </c>
      <c r="D5" s="20" t="n">
        <f aca="false">IF(C5&lt;=2,'Parasal Eşikler 2026'!$G$7,'Parasal Eşikler 2026'!$G$8)</f>
        <v>7500000</v>
      </c>
      <c r="E5" s="13" t="n">
        <f aca="false">IFERROR(INDEX('Bölgesel Kurallar'!$D$5:$D$10,MATCH(C5,'Bölgesel Kurallar'!$A$5:$A$10,0)),"")</f>
        <v>2</v>
      </c>
      <c r="F5" s="13" t="str">
        <f aca="false">IFERROR(INDEX('Bölgesel Kurallar'!$G$5:$G$10,MATCH(C5,'Bölgesel Kurallar'!$A$5:$A$10,0)),"")</f>
        <v>Hayır</v>
      </c>
      <c r="G5" s="5" t="str">
        <f aca="false">IF(B5="İstanbul","Hedef'te vergi indirimi yok; Öncelikli (c) ve (j) İstanbul hariç; madencilik desteklenmez","—")</f>
        <v>—</v>
      </c>
      <c r="H5" s="13" t="s">
        <v>164</v>
      </c>
      <c r="I5" s="5" t="s">
        <v>164</v>
      </c>
      <c r="J5" s="5" t="s">
        <v>1034</v>
      </c>
      <c r="K5" s="5" t="s">
        <v>1035</v>
      </c>
      <c r="L5" s="5" t="s">
        <v>1036</v>
      </c>
      <c r="M5" s="5" t="s">
        <v>1037</v>
      </c>
      <c r="N5" s="5" t="s">
        <v>1038</v>
      </c>
      <c r="O5" s="5" t="s">
        <v>1039</v>
      </c>
      <c r="P5" s="5" t="s">
        <v>164</v>
      </c>
      <c r="Q5" s="22" t="s">
        <v>1040</v>
      </c>
      <c r="R5" s="4" t="s">
        <v>1041</v>
      </c>
      <c r="S5" s="23" t="s">
        <v>1042</v>
      </c>
    </row>
    <row r="6" customFormat="false" ht="35.05" hidden="false" customHeight="false" outlineLevel="0" collapsed="false">
      <c r="A6" s="21" t="n">
        <v>2</v>
      </c>
      <c r="B6" s="4" t="s">
        <v>1043</v>
      </c>
      <c r="C6" s="19" t="n">
        <v>6</v>
      </c>
      <c r="D6" s="20" t="n">
        <f aca="false">IF(C6&lt;=2,'Parasal Eşikler 2026'!$G$7,'Parasal Eşikler 2026'!$G$8)</f>
        <v>7500000</v>
      </c>
      <c r="E6" s="13" t="n">
        <f aca="false">IFERROR(INDEX('Bölgesel Kurallar'!$D$5:$D$10,MATCH(C6,'Bölgesel Kurallar'!$A$5:$A$10,0)),"")</f>
        <v>12</v>
      </c>
      <c r="F6" s="13" t="str">
        <f aca="false">IFERROR(INDEX('Bölgesel Kurallar'!$G$5:$G$10,MATCH(C6,'Bölgesel Kurallar'!$A$5:$A$10,0)),"")</f>
        <v>Evet</v>
      </c>
      <c r="G6" s="5" t="str">
        <f aca="false">IF(B6="İstanbul","Hedef'te vergi indirimi yok; Öncelikli (c) ve (j) İstanbul hariç; madencilik desteklenmez","—")</f>
        <v>—</v>
      </c>
      <c r="H6" s="13" t="s">
        <v>1006</v>
      </c>
      <c r="I6" s="5" t="s">
        <v>1044</v>
      </c>
      <c r="J6" s="5" t="s">
        <v>164</v>
      </c>
      <c r="K6" s="5" t="s">
        <v>1045</v>
      </c>
      <c r="L6" s="5" t="s">
        <v>164</v>
      </c>
      <c r="M6" s="5" t="s">
        <v>1046</v>
      </c>
      <c r="N6" s="5" t="s">
        <v>1047</v>
      </c>
      <c r="O6" s="5" t="s">
        <v>1048</v>
      </c>
      <c r="P6" s="5" t="s">
        <v>164</v>
      </c>
      <c r="Q6" s="22" t="s">
        <v>1049</v>
      </c>
      <c r="R6" s="5" t="s">
        <v>164</v>
      </c>
      <c r="S6" s="23" t="s">
        <v>1042</v>
      </c>
    </row>
    <row r="7" customFormat="false" ht="35.05" hidden="false" customHeight="false" outlineLevel="0" collapsed="false">
      <c r="A7" s="21" t="n">
        <v>3</v>
      </c>
      <c r="B7" s="4" t="s">
        <v>1050</v>
      </c>
      <c r="C7" s="19" t="n">
        <v>4</v>
      </c>
      <c r="D7" s="20" t="n">
        <f aca="false">IF(C7&lt;=2,'Parasal Eşikler 2026'!$G$7,'Parasal Eşikler 2026'!$G$8)</f>
        <v>7500000</v>
      </c>
      <c r="E7" s="13" t="n">
        <f aca="false">IFERROR(INDEX('Bölgesel Kurallar'!$D$5:$D$10,MATCH(C7,'Bölgesel Kurallar'!$A$5:$A$10,0)),"")</f>
        <v>4</v>
      </c>
      <c r="F7" s="13" t="str">
        <f aca="false">IFERROR(INDEX('Bölgesel Kurallar'!$G$5:$G$10,MATCH(C7,'Bölgesel Kurallar'!$A$5:$A$10,0)),"")</f>
        <v>Evet</v>
      </c>
      <c r="G7" s="5" t="str">
        <f aca="false">IF(B7="İstanbul","Hedef'te vergi indirimi yok; Öncelikli (c) ve (j) İstanbul hariç; madencilik desteklenmez","—")</f>
        <v>—</v>
      </c>
      <c r="H7" s="13" t="s">
        <v>164</v>
      </c>
      <c r="I7" s="5" t="s">
        <v>164</v>
      </c>
      <c r="J7" s="5" t="s">
        <v>1051</v>
      </c>
      <c r="K7" s="5" t="s">
        <v>1052</v>
      </c>
      <c r="L7" s="5" t="s">
        <v>1053</v>
      </c>
      <c r="M7" s="5" t="s">
        <v>1054</v>
      </c>
      <c r="N7" s="5" t="s">
        <v>1055</v>
      </c>
      <c r="O7" s="5" t="s">
        <v>164</v>
      </c>
      <c r="P7" s="5" t="s">
        <v>1056</v>
      </c>
      <c r="Q7" s="22" t="s">
        <v>1057</v>
      </c>
      <c r="R7" s="5" t="s">
        <v>164</v>
      </c>
      <c r="S7" s="23" t="s">
        <v>1042</v>
      </c>
    </row>
    <row r="8" customFormat="false" ht="35.05" hidden="false" customHeight="false" outlineLevel="0" collapsed="false">
      <c r="A8" s="21" t="n">
        <v>4</v>
      </c>
      <c r="B8" s="4" t="s">
        <v>1058</v>
      </c>
      <c r="C8" s="19" t="n">
        <v>6</v>
      </c>
      <c r="D8" s="20" t="n">
        <f aca="false">IF(C8&lt;=2,'Parasal Eşikler 2026'!$G$7,'Parasal Eşikler 2026'!$G$8)</f>
        <v>7500000</v>
      </c>
      <c r="E8" s="13" t="n">
        <f aca="false">IFERROR(INDEX('Bölgesel Kurallar'!$D$5:$D$10,MATCH(C8,'Bölgesel Kurallar'!$A$5:$A$10,0)),"")</f>
        <v>12</v>
      </c>
      <c r="F8" s="13" t="str">
        <f aca="false">IFERROR(INDEX('Bölgesel Kurallar'!$G$5:$G$10,MATCH(C8,'Bölgesel Kurallar'!$A$5:$A$10,0)),"")</f>
        <v>Evet</v>
      </c>
      <c r="G8" s="5" t="str">
        <f aca="false">IF(B8="İstanbul","Hedef'te vergi indirimi yok; Öncelikli (c) ve (j) İstanbul hariç; madencilik desteklenmez","—")</f>
        <v>—</v>
      </c>
      <c r="H8" s="13" t="s">
        <v>1006</v>
      </c>
      <c r="I8" s="5" t="s">
        <v>164</v>
      </c>
      <c r="J8" s="5" t="s">
        <v>164</v>
      </c>
      <c r="K8" s="5" t="s">
        <v>1059</v>
      </c>
      <c r="L8" s="5" t="s">
        <v>1060</v>
      </c>
      <c r="M8" s="5" t="s">
        <v>1061</v>
      </c>
      <c r="N8" s="5" t="s">
        <v>1062</v>
      </c>
      <c r="O8" s="5" t="s">
        <v>164</v>
      </c>
      <c r="P8" s="5" t="s">
        <v>1063</v>
      </c>
      <c r="Q8" s="22" t="s">
        <v>1064</v>
      </c>
      <c r="R8" s="5" t="s">
        <v>164</v>
      </c>
      <c r="S8" s="23" t="s">
        <v>1042</v>
      </c>
    </row>
    <row r="9" customFormat="false" ht="35.05" hidden="false" customHeight="false" outlineLevel="0" collapsed="false">
      <c r="A9" s="21" t="n">
        <v>5</v>
      </c>
      <c r="B9" s="4" t="s">
        <v>1065</v>
      </c>
      <c r="C9" s="19" t="n">
        <v>4</v>
      </c>
      <c r="D9" s="20" t="n">
        <f aca="false">IF(C9&lt;=2,'Parasal Eşikler 2026'!$G$7,'Parasal Eşikler 2026'!$G$8)</f>
        <v>7500000</v>
      </c>
      <c r="E9" s="13" t="n">
        <f aca="false">IFERROR(INDEX('Bölgesel Kurallar'!$D$5:$D$10,MATCH(C9,'Bölgesel Kurallar'!$A$5:$A$10,0)),"")</f>
        <v>4</v>
      </c>
      <c r="F9" s="13" t="str">
        <f aca="false">IFERROR(INDEX('Bölgesel Kurallar'!$G$5:$G$10,MATCH(C9,'Bölgesel Kurallar'!$A$5:$A$10,0)),"")</f>
        <v>Evet</v>
      </c>
      <c r="G9" s="5" t="str">
        <f aca="false">IF(B9="İstanbul","Hedef'te vergi indirimi yok; Öncelikli (c) ve (j) İstanbul hariç; madencilik desteklenmez","—")</f>
        <v>—</v>
      </c>
      <c r="H9" s="13" t="s">
        <v>164</v>
      </c>
      <c r="I9" s="5" t="s">
        <v>164</v>
      </c>
      <c r="J9" s="5" t="s">
        <v>1066</v>
      </c>
      <c r="K9" s="5" t="s">
        <v>1067</v>
      </c>
      <c r="L9" s="5" t="s">
        <v>1068</v>
      </c>
      <c r="M9" s="5" t="s">
        <v>1069</v>
      </c>
      <c r="N9" s="5" t="s">
        <v>1070</v>
      </c>
      <c r="O9" s="5" t="s">
        <v>1071</v>
      </c>
      <c r="P9" s="5" t="s">
        <v>1072</v>
      </c>
      <c r="Q9" s="22" t="s">
        <v>1073</v>
      </c>
      <c r="R9" s="5" t="s">
        <v>164</v>
      </c>
      <c r="S9" s="23" t="s">
        <v>1042</v>
      </c>
    </row>
    <row r="10" customFormat="false" ht="35.05" hidden="false" customHeight="false" outlineLevel="0" collapsed="false">
      <c r="A10" s="21" t="n">
        <v>6</v>
      </c>
      <c r="B10" s="4" t="s">
        <v>1074</v>
      </c>
      <c r="C10" s="19" t="n">
        <v>1</v>
      </c>
      <c r="D10" s="20" t="n">
        <f aca="false">IF(C10&lt;=2,'Parasal Eşikler 2026'!$G$7,'Parasal Eşikler 2026'!$G$8)</f>
        <v>15100000</v>
      </c>
      <c r="E10" s="13" t="n">
        <f aca="false">IFERROR(INDEX('Bölgesel Kurallar'!$D$5:$D$10,MATCH(C10,'Bölgesel Kurallar'!$A$5:$A$10,0)),"")</f>
        <v>0</v>
      </c>
      <c r="F10" s="13" t="str">
        <f aca="false">IFERROR(INDEX('Bölgesel Kurallar'!$G$5:$G$10,MATCH(C10,'Bölgesel Kurallar'!$A$5:$A$10,0)),"")</f>
        <v>Hayır</v>
      </c>
      <c r="G10" s="5" t="str">
        <f aca="false">IF(B10="İstanbul","Hedef'te vergi indirimi yok; Öncelikli (c) ve (j) İstanbul hariç; madencilik desteklenmez","—")</f>
        <v>—</v>
      </c>
      <c r="H10" s="13" t="s">
        <v>164</v>
      </c>
      <c r="I10" s="5" t="s">
        <v>164</v>
      </c>
      <c r="J10" s="5" t="s">
        <v>1075</v>
      </c>
      <c r="K10" s="5" t="s">
        <v>1076</v>
      </c>
      <c r="L10" s="5" t="s">
        <v>164</v>
      </c>
      <c r="M10" s="5" t="s">
        <v>1077</v>
      </c>
      <c r="N10" s="5" t="s">
        <v>1078</v>
      </c>
      <c r="O10" s="5" t="s">
        <v>1079</v>
      </c>
      <c r="P10" s="5" t="s">
        <v>1080</v>
      </c>
      <c r="Q10" s="22" t="s">
        <v>1081</v>
      </c>
      <c r="R10" s="4" t="s">
        <v>1082</v>
      </c>
      <c r="S10" s="23" t="s">
        <v>1042</v>
      </c>
    </row>
    <row r="11" customFormat="false" ht="35.05" hidden="false" customHeight="false" outlineLevel="0" collapsed="false">
      <c r="A11" s="21" t="n">
        <v>7</v>
      </c>
      <c r="B11" s="4" t="s">
        <v>1083</v>
      </c>
      <c r="C11" s="19" t="n">
        <v>1</v>
      </c>
      <c r="D11" s="20" t="n">
        <f aca="false">IF(C11&lt;=2,'Parasal Eşikler 2026'!$G$7,'Parasal Eşikler 2026'!$G$8)</f>
        <v>15100000</v>
      </c>
      <c r="E11" s="13" t="n">
        <f aca="false">IFERROR(INDEX('Bölgesel Kurallar'!$D$5:$D$10,MATCH(C11,'Bölgesel Kurallar'!$A$5:$A$10,0)),"")</f>
        <v>0</v>
      </c>
      <c r="F11" s="13" t="str">
        <f aca="false">IFERROR(INDEX('Bölgesel Kurallar'!$G$5:$G$10,MATCH(C11,'Bölgesel Kurallar'!$A$5:$A$10,0)),"")</f>
        <v>Hayır</v>
      </c>
      <c r="G11" s="5" t="str">
        <f aca="false">IF(B11="İstanbul","Hedef'te vergi indirimi yok; Öncelikli (c) ve (j) İstanbul hariç; madencilik desteklenmez","—")</f>
        <v>—</v>
      </c>
      <c r="H11" s="13" t="s">
        <v>164</v>
      </c>
      <c r="I11" s="5" t="s">
        <v>164</v>
      </c>
      <c r="J11" s="5" t="s">
        <v>1084</v>
      </c>
      <c r="K11" s="5" t="s">
        <v>1085</v>
      </c>
      <c r="L11" s="5" t="s">
        <v>1086</v>
      </c>
      <c r="M11" s="5" t="s">
        <v>1087</v>
      </c>
      <c r="N11" s="5" t="s">
        <v>1088</v>
      </c>
      <c r="O11" s="5" t="s">
        <v>1089</v>
      </c>
      <c r="P11" s="5" t="s">
        <v>1090</v>
      </c>
      <c r="Q11" s="22" t="s">
        <v>1091</v>
      </c>
      <c r="R11" s="5" t="s">
        <v>164</v>
      </c>
      <c r="S11" s="23" t="s">
        <v>1042</v>
      </c>
    </row>
    <row r="12" customFormat="false" ht="35.05" hidden="false" customHeight="false" outlineLevel="0" collapsed="false">
      <c r="A12" s="21" t="n">
        <v>8</v>
      </c>
      <c r="B12" s="4" t="s">
        <v>1092</v>
      </c>
      <c r="C12" s="19" t="n">
        <v>4</v>
      </c>
      <c r="D12" s="20" t="n">
        <f aca="false">IF(C12&lt;=2,'Parasal Eşikler 2026'!$G$7,'Parasal Eşikler 2026'!$G$8)</f>
        <v>7500000</v>
      </c>
      <c r="E12" s="13" t="n">
        <f aca="false">IFERROR(INDEX('Bölgesel Kurallar'!$D$5:$D$10,MATCH(C12,'Bölgesel Kurallar'!$A$5:$A$10,0)),"")</f>
        <v>4</v>
      </c>
      <c r="F12" s="13" t="str">
        <f aca="false">IFERROR(INDEX('Bölgesel Kurallar'!$G$5:$G$10,MATCH(C12,'Bölgesel Kurallar'!$A$5:$A$10,0)),"")</f>
        <v>Evet</v>
      </c>
      <c r="G12" s="5" t="str">
        <f aca="false">IF(B12="İstanbul","Hedef'te vergi indirimi yok; Öncelikli (c) ve (j) İstanbul hariç; madencilik desteklenmez","—")</f>
        <v>—</v>
      </c>
      <c r="H12" s="13" t="s">
        <v>164</v>
      </c>
      <c r="I12" s="5" t="s">
        <v>164</v>
      </c>
      <c r="J12" s="5" t="s">
        <v>164</v>
      </c>
      <c r="K12" s="5" t="s">
        <v>1093</v>
      </c>
      <c r="L12" s="5" t="s">
        <v>164</v>
      </c>
      <c r="M12" s="5" t="s">
        <v>1094</v>
      </c>
      <c r="N12" s="5" t="s">
        <v>1095</v>
      </c>
      <c r="O12" s="5" t="s">
        <v>1096</v>
      </c>
      <c r="P12" s="5" t="s">
        <v>164</v>
      </c>
      <c r="Q12" s="22" t="s">
        <v>1097</v>
      </c>
      <c r="R12" s="5" t="s">
        <v>164</v>
      </c>
      <c r="S12" s="23" t="s">
        <v>1042</v>
      </c>
    </row>
    <row r="13" customFormat="false" ht="35.05" hidden="false" customHeight="false" outlineLevel="0" collapsed="false">
      <c r="A13" s="21" t="n">
        <v>9</v>
      </c>
      <c r="B13" s="4" t="s">
        <v>1098</v>
      </c>
      <c r="C13" s="19" t="n">
        <v>2</v>
      </c>
      <c r="D13" s="20" t="n">
        <f aca="false">IF(C13&lt;=2,'Parasal Eşikler 2026'!$G$7,'Parasal Eşikler 2026'!$G$8)</f>
        <v>15100000</v>
      </c>
      <c r="E13" s="13" t="n">
        <f aca="false">IFERROR(INDEX('Bölgesel Kurallar'!$D$5:$D$10,MATCH(C13,'Bölgesel Kurallar'!$A$5:$A$10,0)),"")</f>
        <v>1</v>
      </c>
      <c r="F13" s="13" t="str">
        <f aca="false">IFERROR(INDEX('Bölgesel Kurallar'!$G$5:$G$10,MATCH(C13,'Bölgesel Kurallar'!$A$5:$A$10,0)),"")</f>
        <v>Hayır</v>
      </c>
      <c r="G13" s="5" t="str">
        <f aca="false">IF(B13="İstanbul","Hedef'te vergi indirimi yok; Öncelikli (c) ve (j) İstanbul hariç; madencilik desteklenmez","—")</f>
        <v>—</v>
      </c>
      <c r="H13" s="13" t="s">
        <v>164</v>
      </c>
      <c r="I13" s="5" t="s">
        <v>164</v>
      </c>
      <c r="J13" s="5" t="s">
        <v>1099</v>
      </c>
      <c r="K13" s="5" t="s">
        <v>1100</v>
      </c>
      <c r="L13" s="5" t="s">
        <v>164</v>
      </c>
      <c r="M13" s="5" t="s">
        <v>1101</v>
      </c>
      <c r="N13" s="5" t="s">
        <v>1102</v>
      </c>
      <c r="O13" s="5" t="s">
        <v>1103</v>
      </c>
      <c r="P13" s="5" t="s">
        <v>1104</v>
      </c>
      <c r="Q13" s="22" t="s">
        <v>1105</v>
      </c>
      <c r="R13" s="5" t="s">
        <v>164</v>
      </c>
      <c r="S13" s="23" t="s">
        <v>1042</v>
      </c>
    </row>
    <row r="14" customFormat="false" ht="35.05" hidden="false" customHeight="false" outlineLevel="0" collapsed="false">
      <c r="A14" s="21" t="n">
        <v>10</v>
      </c>
      <c r="B14" s="4" t="s">
        <v>1106</v>
      </c>
      <c r="C14" s="19" t="n">
        <v>2</v>
      </c>
      <c r="D14" s="20" t="n">
        <f aca="false">IF(C14&lt;=2,'Parasal Eşikler 2026'!$G$7,'Parasal Eşikler 2026'!$G$8)</f>
        <v>15100000</v>
      </c>
      <c r="E14" s="13" t="n">
        <f aca="false">IFERROR(INDEX('Bölgesel Kurallar'!$D$5:$D$10,MATCH(C14,'Bölgesel Kurallar'!$A$5:$A$10,0)),"")</f>
        <v>1</v>
      </c>
      <c r="F14" s="13" t="str">
        <f aca="false">IFERROR(INDEX('Bölgesel Kurallar'!$G$5:$G$10,MATCH(C14,'Bölgesel Kurallar'!$A$5:$A$10,0)),"")</f>
        <v>Hayır</v>
      </c>
      <c r="G14" s="5" t="str">
        <f aca="false">IF(B14="İstanbul","Hedef'te vergi indirimi yok; Öncelikli (c) ve (j) İstanbul hariç; madencilik desteklenmez","—")</f>
        <v>—</v>
      </c>
      <c r="H14" s="13" t="s">
        <v>164</v>
      </c>
      <c r="I14" s="5" t="s">
        <v>164</v>
      </c>
      <c r="J14" s="5" t="s">
        <v>1107</v>
      </c>
      <c r="K14" s="5" t="s">
        <v>1108</v>
      </c>
      <c r="L14" s="5" t="s">
        <v>1068</v>
      </c>
      <c r="M14" s="5" t="s">
        <v>1109</v>
      </c>
      <c r="N14" s="5" t="s">
        <v>1110</v>
      </c>
      <c r="O14" s="5" t="s">
        <v>1111</v>
      </c>
      <c r="P14" s="5" t="s">
        <v>164</v>
      </c>
      <c r="Q14" s="22" t="s">
        <v>1112</v>
      </c>
      <c r="R14" s="5" t="s">
        <v>164</v>
      </c>
      <c r="S14" s="23" t="s">
        <v>1042</v>
      </c>
    </row>
    <row r="15" customFormat="false" ht="35.05" hidden="false" customHeight="false" outlineLevel="0" collapsed="false">
      <c r="A15" s="21" t="n">
        <v>11</v>
      </c>
      <c r="B15" s="4" t="s">
        <v>1113</v>
      </c>
      <c r="C15" s="19" t="n">
        <v>3</v>
      </c>
      <c r="D15" s="20" t="n">
        <f aca="false">IF(C15&lt;=2,'Parasal Eşikler 2026'!$G$7,'Parasal Eşikler 2026'!$G$8)</f>
        <v>7500000</v>
      </c>
      <c r="E15" s="13" t="n">
        <f aca="false">IFERROR(INDEX('Bölgesel Kurallar'!$D$5:$D$10,MATCH(C15,'Bölgesel Kurallar'!$A$5:$A$10,0)),"")</f>
        <v>2</v>
      </c>
      <c r="F15" s="13" t="str">
        <f aca="false">IFERROR(INDEX('Bölgesel Kurallar'!$G$5:$G$10,MATCH(C15,'Bölgesel Kurallar'!$A$5:$A$10,0)),"")</f>
        <v>Hayır</v>
      </c>
      <c r="G15" s="5" t="str">
        <f aca="false">IF(B15="İstanbul","Hedef'te vergi indirimi yok; Öncelikli (c) ve (j) İstanbul hariç; madencilik desteklenmez","—")</f>
        <v>—</v>
      </c>
      <c r="H15" s="13" t="s">
        <v>164</v>
      </c>
      <c r="I15" s="5" t="s">
        <v>164</v>
      </c>
      <c r="J15" s="5" t="s">
        <v>1114</v>
      </c>
      <c r="K15" s="5" t="s">
        <v>1115</v>
      </c>
      <c r="L15" s="5" t="s">
        <v>164</v>
      </c>
      <c r="M15" s="5" t="s">
        <v>1116</v>
      </c>
      <c r="N15" s="5" t="s">
        <v>1117</v>
      </c>
      <c r="O15" s="5" t="s">
        <v>164</v>
      </c>
      <c r="P15" s="5" t="s">
        <v>164</v>
      </c>
      <c r="Q15" s="22" t="s">
        <v>1118</v>
      </c>
      <c r="R15" s="5" t="s">
        <v>164</v>
      </c>
      <c r="S15" s="23" t="s">
        <v>1042</v>
      </c>
    </row>
    <row r="16" customFormat="false" ht="28.35" hidden="false" customHeight="false" outlineLevel="0" collapsed="false">
      <c r="A16" s="21" t="n">
        <v>12</v>
      </c>
      <c r="B16" s="4" t="s">
        <v>1119</v>
      </c>
      <c r="C16" s="19" t="n">
        <v>6</v>
      </c>
      <c r="D16" s="20" t="n">
        <f aca="false">IF(C16&lt;=2,'Parasal Eşikler 2026'!$G$7,'Parasal Eşikler 2026'!$G$8)</f>
        <v>7500000</v>
      </c>
      <c r="E16" s="13" t="n">
        <f aca="false">IFERROR(INDEX('Bölgesel Kurallar'!$D$5:$D$10,MATCH(C16,'Bölgesel Kurallar'!$A$5:$A$10,0)),"")</f>
        <v>12</v>
      </c>
      <c r="F16" s="13" t="str">
        <f aca="false">IFERROR(INDEX('Bölgesel Kurallar'!$G$5:$G$10,MATCH(C16,'Bölgesel Kurallar'!$A$5:$A$10,0)),"")</f>
        <v>Evet</v>
      </c>
      <c r="G16" s="5" t="str">
        <f aca="false">IF(B16="İstanbul","Hedef'te vergi indirimi yok; Öncelikli (c) ve (j) İstanbul hariç; madencilik desteklenmez","—")</f>
        <v>—</v>
      </c>
      <c r="H16" s="13" t="s">
        <v>1006</v>
      </c>
      <c r="I16" s="5" t="s">
        <v>164</v>
      </c>
      <c r="J16" s="5" t="s">
        <v>164</v>
      </c>
      <c r="K16" s="5" t="s">
        <v>1120</v>
      </c>
      <c r="L16" s="5" t="s">
        <v>164</v>
      </c>
      <c r="M16" s="5" t="s">
        <v>1121</v>
      </c>
      <c r="N16" s="5" t="s">
        <v>1122</v>
      </c>
      <c r="O16" s="5" t="s">
        <v>1123</v>
      </c>
      <c r="P16" s="5" t="s">
        <v>1124</v>
      </c>
      <c r="Q16" s="22" t="s">
        <v>1125</v>
      </c>
      <c r="R16" s="5" t="s">
        <v>164</v>
      </c>
      <c r="S16" s="23" t="s">
        <v>1042</v>
      </c>
    </row>
    <row r="17" customFormat="false" ht="35.05" hidden="false" customHeight="false" outlineLevel="0" collapsed="false">
      <c r="A17" s="21" t="n">
        <v>13</v>
      </c>
      <c r="B17" s="4" t="s">
        <v>1126</v>
      </c>
      <c r="C17" s="19" t="n">
        <v>6</v>
      </c>
      <c r="D17" s="20" t="n">
        <f aca="false">IF(C17&lt;=2,'Parasal Eşikler 2026'!$G$7,'Parasal Eşikler 2026'!$G$8)</f>
        <v>7500000</v>
      </c>
      <c r="E17" s="13" t="n">
        <f aca="false">IFERROR(INDEX('Bölgesel Kurallar'!$D$5:$D$10,MATCH(C17,'Bölgesel Kurallar'!$A$5:$A$10,0)),"")</f>
        <v>12</v>
      </c>
      <c r="F17" s="13" t="str">
        <f aca="false">IFERROR(INDEX('Bölgesel Kurallar'!$G$5:$G$10,MATCH(C17,'Bölgesel Kurallar'!$A$5:$A$10,0)),"")</f>
        <v>Evet</v>
      </c>
      <c r="G17" s="5" t="str">
        <f aca="false">IF(B17="İstanbul","Hedef'te vergi indirimi yok; Öncelikli (c) ve (j) İstanbul hariç; madencilik desteklenmez","—")</f>
        <v>—</v>
      </c>
      <c r="H17" s="13" t="s">
        <v>1006</v>
      </c>
      <c r="I17" s="5" t="s">
        <v>164</v>
      </c>
      <c r="J17" s="5" t="s">
        <v>164</v>
      </c>
      <c r="K17" s="5" t="s">
        <v>1127</v>
      </c>
      <c r="L17" s="5" t="s">
        <v>164</v>
      </c>
      <c r="M17" s="5" t="s">
        <v>1128</v>
      </c>
      <c r="N17" s="5" t="s">
        <v>1129</v>
      </c>
      <c r="O17" s="5" t="s">
        <v>1130</v>
      </c>
      <c r="P17" s="5" t="s">
        <v>164</v>
      </c>
      <c r="Q17" s="22" t="s">
        <v>1131</v>
      </c>
      <c r="R17" s="5" t="s">
        <v>164</v>
      </c>
      <c r="S17" s="23" t="s">
        <v>1042</v>
      </c>
    </row>
    <row r="18" customFormat="false" ht="28.35" hidden="false" customHeight="false" outlineLevel="0" collapsed="false">
      <c r="A18" s="21" t="n">
        <v>14</v>
      </c>
      <c r="B18" s="4" t="s">
        <v>1132</v>
      </c>
      <c r="C18" s="19" t="n">
        <v>2</v>
      </c>
      <c r="D18" s="20" t="n">
        <f aca="false">IF(C18&lt;=2,'Parasal Eşikler 2026'!$G$7,'Parasal Eşikler 2026'!$G$8)</f>
        <v>15100000</v>
      </c>
      <c r="E18" s="13" t="n">
        <f aca="false">IFERROR(INDEX('Bölgesel Kurallar'!$D$5:$D$10,MATCH(C18,'Bölgesel Kurallar'!$A$5:$A$10,0)),"")</f>
        <v>1</v>
      </c>
      <c r="F18" s="13" t="str">
        <f aca="false">IFERROR(INDEX('Bölgesel Kurallar'!$G$5:$G$10,MATCH(C18,'Bölgesel Kurallar'!$A$5:$A$10,0)),"")</f>
        <v>Hayır</v>
      </c>
      <c r="G18" s="5" t="str">
        <f aca="false">IF(B18="İstanbul","Hedef'te vergi indirimi yok; Öncelikli (c) ve (j) İstanbul hariç; madencilik desteklenmez","—")</f>
        <v>—</v>
      </c>
      <c r="H18" s="13" t="s">
        <v>164</v>
      </c>
      <c r="I18" s="5" t="s">
        <v>164</v>
      </c>
      <c r="J18" s="5" t="s">
        <v>1133</v>
      </c>
      <c r="K18" s="5" t="s">
        <v>1134</v>
      </c>
      <c r="L18" s="5" t="s">
        <v>164</v>
      </c>
      <c r="M18" s="5" t="s">
        <v>1135</v>
      </c>
      <c r="N18" s="5" t="s">
        <v>1136</v>
      </c>
      <c r="O18" s="5" t="s">
        <v>164</v>
      </c>
      <c r="P18" s="5" t="s">
        <v>164</v>
      </c>
      <c r="Q18" s="22" t="s">
        <v>1137</v>
      </c>
      <c r="R18" s="5" t="s">
        <v>164</v>
      </c>
      <c r="S18" s="23" t="s">
        <v>1042</v>
      </c>
    </row>
    <row r="19" customFormat="false" ht="35.05" hidden="false" customHeight="false" outlineLevel="0" collapsed="false">
      <c r="A19" s="21" t="n">
        <v>15</v>
      </c>
      <c r="B19" s="4" t="s">
        <v>1138</v>
      </c>
      <c r="C19" s="19" t="n">
        <v>3</v>
      </c>
      <c r="D19" s="20" t="n">
        <f aca="false">IF(C19&lt;=2,'Parasal Eşikler 2026'!$G$7,'Parasal Eşikler 2026'!$G$8)</f>
        <v>7500000</v>
      </c>
      <c r="E19" s="13" t="n">
        <f aca="false">IFERROR(INDEX('Bölgesel Kurallar'!$D$5:$D$10,MATCH(C19,'Bölgesel Kurallar'!$A$5:$A$10,0)),"")</f>
        <v>2</v>
      </c>
      <c r="F19" s="13" t="str">
        <f aca="false">IFERROR(INDEX('Bölgesel Kurallar'!$G$5:$G$10,MATCH(C19,'Bölgesel Kurallar'!$A$5:$A$10,0)),"")</f>
        <v>Hayır</v>
      </c>
      <c r="G19" s="5" t="str">
        <f aca="false">IF(B19="İstanbul","Hedef'te vergi indirimi yok; Öncelikli (c) ve (j) İstanbul hariç; madencilik desteklenmez","—")</f>
        <v>—</v>
      </c>
      <c r="H19" s="13" t="s">
        <v>164</v>
      </c>
      <c r="I19" s="5" t="s">
        <v>164</v>
      </c>
      <c r="J19" s="5" t="s">
        <v>1139</v>
      </c>
      <c r="K19" s="5" t="s">
        <v>1140</v>
      </c>
      <c r="L19" s="5" t="s">
        <v>164</v>
      </c>
      <c r="M19" s="5" t="s">
        <v>1087</v>
      </c>
      <c r="N19" s="5" t="s">
        <v>1141</v>
      </c>
      <c r="O19" s="5" t="s">
        <v>1142</v>
      </c>
      <c r="P19" s="5" t="s">
        <v>1143</v>
      </c>
      <c r="Q19" s="22" t="s">
        <v>1091</v>
      </c>
      <c r="R19" s="5" t="s">
        <v>164</v>
      </c>
      <c r="S19" s="23" t="s">
        <v>1042</v>
      </c>
    </row>
    <row r="20" customFormat="false" ht="35.05" hidden="false" customHeight="false" outlineLevel="0" collapsed="false">
      <c r="A20" s="21" t="n">
        <v>16</v>
      </c>
      <c r="B20" s="4" t="s">
        <v>1144</v>
      </c>
      <c r="C20" s="19" t="n">
        <v>1</v>
      </c>
      <c r="D20" s="20" t="n">
        <f aca="false">IF(C20&lt;=2,'Parasal Eşikler 2026'!$G$7,'Parasal Eşikler 2026'!$G$8)</f>
        <v>15100000</v>
      </c>
      <c r="E20" s="13" t="n">
        <f aca="false">IFERROR(INDEX('Bölgesel Kurallar'!$D$5:$D$10,MATCH(C20,'Bölgesel Kurallar'!$A$5:$A$10,0)),"")</f>
        <v>0</v>
      </c>
      <c r="F20" s="13" t="str">
        <f aca="false">IFERROR(INDEX('Bölgesel Kurallar'!$G$5:$G$10,MATCH(C20,'Bölgesel Kurallar'!$A$5:$A$10,0)),"")</f>
        <v>Hayır</v>
      </c>
      <c r="G20" s="5" t="str">
        <f aca="false">IF(B20="İstanbul","Hedef'te vergi indirimi yok; Öncelikli (c) ve (j) İstanbul hariç; madencilik desteklenmez","—")</f>
        <v>—</v>
      </c>
      <c r="H20" s="13" t="s">
        <v>164</v>
      </c>
      <c r="I20" s="5" t="s">
        <v>164</v>
      </c>
      <c r="J20" s="5" t="s">
        <v>1145</v>
      </c>
      <c r="K20" s="5" t="s">
        <v>1146</v>
      </c>
      <c r="L20" s="5" t="s">
        <v>164</v>
      </c>
      <c r="M20" s="5" t="s">
        <v>1116</v>
      </c>
      <c r="N20" s="5" t="s">
        <v>1147</v>
      </c>
      <c r="O20" s="5" t="s">
        <v>164</v>
      </c>
      <c r="P20" s="5" t="s">
        <v>1148</v>
      </c>
      <c r="Q20" s="22" t="s">
        <v>1118</v>
      </c>
      <c r="R20" s="5" t="s">
        <v>164</v>
      </c>
      <c r="S20" s="23" t="s">
        <v>1042</v>
      </c>
    </row>
    <row r="21" customFormat="false" ht="35.05" hidden="false" customHeight="false" outlineLevel="0" collapsed="false">
      <c r="A21" s="21" t="n">
        <v>17</v>
      </c>
      <c r="B21" s="4" t="s">
        <v>1149</v>
      </c>
      <c r="C21" s="19" t="n">
        <v>2</v>
      </c>
      <c r="D21" s="20" t="n">
        <f aca="false">IF(C21&lt;=2,'Parasal Eşikler 2026'!$G$7,'Parasal Eşikler 2026'!$G$8)</f>
        <v>15100000</v>
      </c>
      <c r="E21" s="13" t="n">
        <f aca="false">IFERROR(INDEX('Bölgesel Kurallar'!$D$5:$D$10,MATCH(C21,'Bölgesel Kurallar'!$A$5:$A$10,0)),"")</f>
        <v>1</v>
      </c>
      <c r="F21" s="13" t="str">
        <f aca="false">IFERROR(INDEX('Bölgesel Kurallar'!$G$5:$G$10,MATCH(C21,'Bölgesel Kurallar'!$A$5:$A$10,0)),"")</f>
        <v>Hayır</v>
      </c>
      <c r="G21" s="5" t="str">
        <f aca="false">IF(B21="İstanbul","Hedef'te vergi indirimi yok; Öncelikli (c) ve (j) İstanbul hariç; madencilik desteklenmez","—")</f>
        <v>—</v>
      </c>
      <c r="H21" s="13" t="s">
        <v>164</v>
      </c>
      <c r="I21" s="5" t="s">
        <v>164</v>
      </c>
      <c r="J21" s="5" t="s">
        <v>1150</v>
      </c>
      <c r="K21" s="5" t="s">
        <v>1151</v>
      </c>
      <c r="L21" s="5" t="s">
        <v>1152</v>
      </c>
      <c r="M21" s="5" t="s">
        <v>1109</v>
      </c>
      <c r="N21" s="5" t="s">
        <v>1153</v>
      </c>
      <c r="O21" s="5" t="s">
        <v>1154</v>
      </c>
      <c r="P21" s="5" t="s">
        <v>164</v>
      </c>
      <c r="Q21" s="22" t="s">
        <v>1112</v>
      </c>
      <c r="R21" s="5" t="s">
        <v>164</v>
      </c>
      <c r="S21" s="23" t="s">
        <v>1042</v>
      </c>
    </row>
    <row r="22" customFormat="false" ht="35.05" hidden="false" customHeight="false" outlineLevel="0" collapsed="false">
      <c r="A22" s="21" t="n">
        <v>18</v>
      </c>
      <c r="B22" s="4" t="s">
        <v>1155</v>
      </c>
      <c r="C22" s="19" t="n">
        <v>5</v>
      </c>
      <c r="D22" s="20" t="n">
        <f aca="false">IF(C22&lt;=2,'Parasal Eşikler 2026'!$G$7,'Parasal Eşikler 2026'!$G$8)</f>
        <v>7500000</v>
      </c>
      <c r="E22" s="13" t="n">
        <f aca="false">IFERROR(INDEX('Bölgesel Kurallar'!$D$5:$D$10,MATCH(C22,'Bölgesel Kurallar'!$A$5:$A$10,0)),"")</f>
        <v>8</v>
      </c>
      <c r="F22" s="13" t="str">
        <f aca="false">IFERROR(INDEX('Bölgesel Kurallar'!$G$5:$G$10,MATCH(C22,'Bölgesel Kurallar'!$A$5:$A$10,0)),"")</f>
        <v>Evet</v>
      </c>
      <c r="G22" s="5" t="str">
        <f aca="false">IF(B22="İstanbul","Hedef'te vergi indirimi yok; Öncelikli (c) ve (j) İstanbul hariç; madencilik desteklenmez","—")</f>
        <v>—</v>
      </c>
      <c r="H22" s="13" t="s">
        <v>164</v>
      </c>
      <c r="I22" s="5" t="s">
        <v>164</v>
      </c>
      <c r="J22" s="5" t="s">
        <v>1156</v>
      </c>
      <c r="K22" s="5" t="s">
        <v>1157</v>
      </c>
      <c r="L22" s="5" t="s">
        <v>164</v>
      </c>
      <c r="M22" s="5" t="s">
        <v>1158</v>
      </c>
      <c r="N22" s="5" t="s">
        <v>1159</v>
      </c>
      <c r="O22" s="5" t="s">
        <v>1160</v>
      </c>
      <c r="P22" s="5" t="s">
        <v>1161</v>
      </c>
      <c r="Q22" s="22" t="s">
        <v>1162</v>
      </c>
      <c r="R22" s="4" t="s">
        <v>1082</v>
      </c>
      <c r="S22" s="23" t="s">
        <v>1042</v>
      </c>
    </row>
    <row r="23" customFormat="false" ht="46.25" hidden="false" customHeight="false" outlineLevel="0" collapsed="false">
      <c r="A23" s="21" t="n">
        <v>19</v>
      </c>
      <c r="B23" s="4" t="s">
        <v>1163</v>
      </c>
      <c r="C23" s="19" t="n">
        <v>4</v>
      </c>
      <c r="D23" s="20" t="n">
        <f aca="false">IF(C23&lt;=2,'Parasal Eşikler 2026'!$G$7,'Parasal Eşikler 2026'!$G$8)</f>
        <v>7500000</v>
      </c>
      <c r="E23" s="13" t="n">
        <f aca="false">IFERROR(INDEX('Bölgesel Kurallar'!$D$5:$D$10,MATCH(C23,'Bölgesel Kurallar'!$A$5:$A$10,0)),"")</f>
        <v>4</v>
      </c>
      <c r="F23" s="13" t="str">
        <f aca="false">IFERROR(INDEX('Bölgesel Kurallar'!$G$5:$G$10,MATCH(C23,'Bölgesel Kurallar'!$A$5:$A$10,0)),"")</f>
        <v>Evet</v>
      </c>
      <c r="G23" s="5" t="str">
        <f aca="false">IF(B23="İstanbul","Hedef'te vergi indirimi yok; Öncelikli (c) ve (j) İstanbul hariç; madencilik desteklenmez","—")</f>
        <v>—</v>
      </c>
      <c r="H23" s="13" t="s">
        <v>164</v>
      </c>
      <c r="I23" s="5" t="s">
        <v>164</v>
      </c>
      <c r="J23" s="5" t="s">
        <v>1164</v>
      </c>
      <c r="K23" s="5" t="s">
        <v>1165</v>
      </c>
      <c r="L23" s="5" t="s">
        <v>1166</v>
      </c>
      <c r="M23" s="5" t="s">
        <v>1069</v>
      </c>
      <c r="N23" s="5" t="s">
        <v>1167</v>
      </c>
      <c r="O23" s="5" t="s">
        <v>1168</v>
      </c>
      <c r="P23" s="5" t="s">
        <v>1169</v>
      </c>
      <c r="Q23" s="22" t="s">
        <v>1073</v>
      </c>
      <c r="R23" s="5" t="s">
        <v>164</v>
      </c>
      <c r="S23" s="23" t="s">
        <v>1042</v>
      </c>
    </row>
    <row r="24" customFormat="false" ht="46.25" hidden="false" customHeight="false" outlineLevel="0" collapsed="false">
      <c r="A24" s="21" t="n">
        <v>20</v>
      </c>
      <c r="B24" s="4" t="s">
        <v>1170</v>
      </c>
      <c r="C24" s="19" t="n">
        <v>2</v>
      </c>
      <c r="D24" s="20" t="n">
        <f aca="false">IF(C24&lt;=2,'Parasal Eşikler 2026'!$G$7,'Parasal Eşikler 2026'!$G$8)</f>
        <v>15100000</v>
      </c>
      <c r="E24" s="13" t="n">
        <f aca="false">IFERROR(INDEX('Bölgesel Kurallar'!$D$5:$D$10,MATCH(C24,'Bölgesel Kurallar'!$A$5:$A$10,0)),"")</f>
        <v>1</v>
      </c>
      <c r="F24" s="13" t="str">
        <f aca="false">IFERROR(INDEX('Bölgesel Kurallar'!$G$5:$G$10,MATCH(C24,'Bölgesel Kurallar'!$A$5:$A$10,0)),"")</f>
        <v>Hayır</v>
      </c>
      <c r="G24" s="5" t="str">
        <f aca="false">IF(B24="İstanbul","Hedef'te vergi indirimi yok; Öncelikli (c) ve (j) İstanbul hariç; madencilik desteklenmez","—")</f>
        <v>—</v>
      </c>
      <c r="H24" s="13" t="s">
        <v>164</v>
      </c>
      <c r="I24" s="5" t="s">
        <v>164</v>
      </c>
      <c r="J24" s="5" t="s">
        <v>1171</v>
      </c>
      <c r="K24" s="5" t="s">
        <v>1172</v>
      </c>
      <c r="L24" s="5" t="s">
        <v>1173</v>
      </c>
      <c r="M24" s="5" t="s">
        <v>1101</v>
      </c>
      <c r="N24" s="5" t="s">
        <v>1174</v>
      </c>
      <c r="O24" s="5" t="s">
        <v>1175</v>
      </c>
      <c r="P24" s="5" t="s">
        <v>1176</v>
      </c>
      <c r="Q24" s="22" t="s">
        <v>1105</v>
      </c>
      <c r="R24" s="5" t="s">
        <v>164</v>
      </c>
      <c r="S24" s="23" t="s">
        <v>1042</v>
      </c>
    </row>
    <row r="25" customFormat="false" ht="28.35" hidden="false" customHeight="false" outlineLevel="0" collapsed="false">
      <c r="A25" s="21" t="n">
        <v>21</v>
      </c>
      <c r="B25" s="4" t="s">
        <v>1177</v>
      </c>
      <c r="C25" s="19" t="n">
        <v>6</v>
      </c>
      <c r="D25" s="20" t="n">
        <f aca="false">IF(C25&lt;=2,'Parasal Eşikler 2026'!$G$7,'Parasal Eşikler 2026'!$G$8)</f>
        <v>7500000</v>
      </c>
      <c r="E25" s="13" t="n">
        <f aca="false">IFERROR(INDEX('Bölgesel Kurallar'!$D$5:$D$10,MATCH(C25,'Bölgesel Kurallar'!$A$5:$A$10,0)),"")</f>
        <v>12</v>
      </c>
      <c r="F25" s="13" t="str">
        <f aca="false">IFERROR(INDEX('Bölgesel Kurallar'!$G$5:$G$10,MATCH(C25,'Bölgesel Kurallar'!$A$5:$A$10,0)),"")</f>
        <v>Evet</v>
      </c>
      <c r="G25" s="5" t="str">
        <f aca="false">IF(B25="İstanbul","Hedef'te vergi indirimi yok; Öncelikli (c) ve (j) İstanbul hariç; madencilik desteklenmez","—")</f>
        <v>—</v>
      </c>
      <c r="H25" s="13" t="s">
        <v>1006</v>
      </c>
      <c r="I25" s="5" t="s">
        <v>164</v>
      </c>
      <c r="J25" s="5" t="s">
        <v>164</v>
      </c>
      <c r="K25" s="5" t="s">
        <v>1178</v>
      </c>
      <c r="L25" s="5" t="s">
        <v>164</v>
      </c>
      <c r="M25" s="5" t="s">
        <v>1179</v>
      </c>
      <c r="N25" s="5" t="s">
        <v>1180</v>
      </c>
      <c r="O25" s="5" t="s">
        <v>1181</v>
      </c>
      <c r="P25" s="5" t="s">
        <v>1182</v>
      </c>
      <c r="Q25" s="22" t="s">
        <v>1183</v>
      </c>
      <c r="R25" s="5" t="s">
        <v>164</v>
      </c>
      <c r="S25" s="23" t="s">
        <v>1042</v>
      </c>
    </row>
    <row r="26" customFormat="false" ht="35.05" hidden="false" customHeight="false" outlineLevel="0" collapsed="false">
      <c r="A26" s="21" t="n">
        <v>22</v>
      </c>
      <c r="B26" s="4" t="s">
        <v>1184</v>
      </c>
      <c r="C26" s="19" t="n">
        <v>2</v>
      </c>
      <c r="D26" s="20" t="n">
        <f aca="false">IF(C26&lt;=2,'Parasal Eşikler 2026'!$G$7,'Parasal Eşikler 2026'!$G$8)</f>
        <v>15100000</v>
      </c>
      <c r="E26" s="13" t="n">
        <f aca="false">IFERROR(INDEX('Bölgesel Kurallar'!$D$5:$D$10,MATCH(C26,'Bölgesel Kurallar'!$A$5:$A$10,0)),"")</f>
        <v>1</v>
      </c>
      <c r="F26" s="13" t="str">
        <f aca="false">IFERROR(INDEX('Bölgesel Kurallar'!$G$5:$G$10,MATCH(C26,'Bölgesel Kurallar'!$A$5:$A$10,0)),"")</f>
        <v>Hayır</v>
      </c>
      <c r="G26" s="5" t="str">
        <f aca="false">IF(B26="İstanbul","Hedef'te vergi indirimi yok; Öncelikli (c) ve (j) İstanbul hariç; madencilik desteklenmez","—")</f>
        <v>—</v>
      </c>
      <c r="H26" s="13" t="s">
        <v>164</v>
      </c>
      <c r="I26" s="5" t="s">
        <v>164</v>
      </c>
      <c r="J26" s="5" t="s">
        <v>1185</v>
      </c>
      <c r="K26" s="5" t="s">
        <v>1186</v>
      </c>
      <c r="L26" s="5" t="s">
        <v>1187</v>
      </c>
      <c r="M26" s="5" t="s">
        <v>1188</v>
      </c>
      <c r="N26" s="5" t="s">
        <v>1189</v>
      </c>
      <c r="O26" s="5" t="s">
        <v>164</v>
      </c>
      <c r="P26" s="5" t="s">
        <v>164</v>
      </c>
      <c r="Q26" s="22" t="s">
        <v>1190</v>
      </c>
      <c r="R26" s="5" t="s">
        <v>164</v>
      </c>
      <c r="S26" s="23" t="s">
        <v>1042</v>
      </c>
    </row>
    <row r="27" customFormat="false" ht="35.05" hidden="false" customHeight="false" outlineLevel="0" collapsed="false">
      <c r="A27" s="21" t="n">
        <v>23</v>
      </c>
      <c r="B27" s="4" t="s">
        <v>1191</v>
      </c>
      <c r="C27" s="19" t="n">
        <v>4</v>
      </c>
      <c r="D27" s="20" t="n">
        <f aca="false">IF(C27&lt;=2,'Parasal Eşikler 2026'!$G$7,'Parasal Eşikler 2026'!$G$8)</f>
        <v>7500000</v>
      </c>
      <c r="E27" s="13" t="n">
        <f aca="false">IFERROR(INDEX('Bölgesel Kurallar'!$D$5:$D$10,MATCH(C27,'Bölgesel Kurallar'!$A$5:$A$10,0)),"")</f>
        <v>4</v>
      </c>
      <c r="F27" s="13" t="str">
        <f aca="false">IFERROR(INDEX('Bölgesel Kurallar'!$G$5:$G$10,MATCH(C27,'Bölgesel Kurallar'!$A$5:$A$10,0)),"")</f>
        <v>Evet</v>
      </c>
      <c r="G27" s="5" t="str">
        <f aca="false">IF(B27="İstanbul","Hedef'te vergi indirimi yok; Öncelikli (c) ve (j) İstanbul hariç; madencilik desteklenmez","—")</f>
        <v>—</v>
      </c>
      <c r="H27" s="13" t="s">
        <v>1006</v>
      </c>
      <c r="I27" s="5" t="s">
        <v>1192</v>
      </c>
      <c r="J27" s="5" t="s">
        <v>1193</v>
      </c>
      <c r="K27" s="5" t="s">
        <v>1194</v>
      </c>
      <c r="L27" s="5" t="s">
        <v>164</v>
      </c>
      <c r="M27" s="5" t="s">
        <v>1121</v>
      </c>
      <c r="N27" s="5" t="s">
        <v>1195</v>
      </c>
      <c r="O27" s="5" t="s">
        <v>1196</v>
      </c>
      <c r="P27" s="5" t="s">
        <v>1197</v>
      </c>
      <c r="Q27" s="22" t="s">
        <v>1125</v>
      </c>
      <c r="R27" s="5" t="s">
        <v>164</v>
      </c>
      <c r="S27" s="23" t="s">
        <v>1042</v>
      </c>
    </row>
    <row r="28" customFormat="false" ht="35.05" hidden="false" customHeight="false" outlineLevel="0" collapsed="false">
      <c r="A28" s="21" t="n">
        <v>24</v>
      </c>
      <c r="B28" s="4" t="s">
        <v>1198</v>
      </c>
      <c r="C28" s="19" t="n">
        <v>4</v>
      </c>
      <c r="D28" s="20" t="n">
        <f aca="false">IF(C28&lt;=2,'Parasal Eşikler 2026'!$G$7,'Parasal Eşikler 2026'!$G$8)</f>
        <v>7500000</v>
      </c>
      <c r="E28" s="13" t="n">
        <f aca="false">IFERROR(INDEX('Bölgesel Kurallar'!$D$5:$D$10,MATCH(C28,'Bölgesel Kurallar'!$A$5:$A$10,0)),"")</f>
        <v>4</v>
      </c>
      <c r="F28" s="13" t="str">
        <f aca="false">IFERROR(INDEX('Bölgesel Kurallar'!$G$5:$G$10,MATCH(C28,'Bölgesel Kurallar'!$A$5:$A$10,0)),"")</f>
        <v>Evet</v>
      </c>
      <c r="G28" s="5" t="str">
        <f aca="false">IF(B28="İstanbul","Hedef'te vergi indirimi yok; Öncelikli (c) ve (j) İstanbul hariç; madencilik desteklenmez","—")</f>
        <v>—</v>
      </c>
      <c r="H28" s="13" t="s">
        <v>1006</v>
      </c>
      <c r="I28" s="5" t="s">
        <v>164</v>
      </c>
      <c r="J28" s="5" t="s">
        <v>1199</v>
      </c>
      <c r="K28" s="5" t="s">
        <v>1200</v>
      </c>
      <c r="L28" s="5" t="s">
        <v>1201</v>
      </c>
      <c r="M28" s="5" t="s">
        <v>1202</v>
      </c>
      <c r="N28" s="5" t="s">
        <v>1203</v>
      </c>
      <c r="O28" s="5" t="s">
        <v>1204</v>
      </c>
      <c r="P28" s="5" t="s">
        <v>1205</v>
      </c>
      <c r="Q28" s="22" t="s">
        <v>1206</v>
      </c>
      <c r="R28" s="5" t="s">
        <v>164</v>
      </c>
      <c r="S28" s="23" t="s">
        <v>1042</v>
      </c>
    </row>
    <row r="29" customFormat="false" ht="35.05" hidden="false" customHeight="false" outlineLevel="0" collapsed="false">
      <c r="A29" s="21" t="n">
        <v>25</v>
      </c>
      <c r="B29" s="4" t="s">
        <v>1207</v>
      </c>
      <c r="C29" s="19" t="n">
        <v>5</v>
      </c>
      <c r="D29" s="20" t="n">
        <f aca="false">IF(C29&lt;=2,'Parasal Eşikler 2026'!$G$7,'Parasal Eşikler 2026'!$G$8)</f>
        <v>7500000</v>
      </c>
      <c r="E29" s="13" t="n">
        <f aca="false">IFERROR(INDEX('Bölgesel Kurallar'!$D$5:$D$10,MATCH(C29,'Bölgesel Kurallar'!$A$5:$A$10,0)),"")</f>
        <v>8</v>
      </c>
      <c r="F29" s="13" t="str">
        <f aca="false">IFERROR(INDEX('Bölgesel Kurallar'!$G$5:$G$10,MATCH(C29,'Bölgesel Kurallar'!$A$5:$A$10,0)),"")</f>
        <v>Evet</v>
      </c>
      <c r="G29" s="5" t="str">
        <f aca="false">IF(B29="İstanbul","Hedef'te vergi indirimi yok; Öncelikli (c) ve (j) İstanbul hariç; madencilik desteklenmez","—")</f>
        <v>—</v>
      </c>
      <c r="H29" s="13" t="s">
        <v>1006</v>
      </c>
      <c r="I29" s="5" t="s">
        <v>164</v>
      </c>
      <c r="J29" s="5" t="s">
        <v>1208</v>
      </c>
      <c r="K29" s="5" t="s">
        <v>1209</v>
      </c>
      <c r="L29" s="5" t="s">
        <v>164</v>
      </c>
      <c r="M29" s="5" t="s">
        <v>1202</v>
      </c>
      <c r="N29" s="5" t="s">
        <v>1210</v>
      </c>
      <c r="O29" s="5" t="s">
        <v>1211</v>
      </c>
      <c r="P29" s="5" t="s">
        <v>1212</v>
      </c>
      <c r="Q29" s="22" t="s">
        <v>1206</v>
      </c>
      <c r="R29" s="5" t="s">
        <v>164</v>
      </c>
      <c r="S29" s="23" t="s">
        <v>1042</v>
      </c>
    </row>
    <row r="30" customFormat="false" ht="35.05" hidden="false" customHeight="false" outlineLevel="0" collapsed="false">
      <c r="A30" s="21" t="n">
        <v>26</v>
      </c>
      <c r="B30" s="4" t="s">
        <v>1213</v>
      </c>
      <c r="C30" s="19" t="n">
        <v>1</v>
      </c>
      <c r="D30" s="20" t="n">
        <f aca="false">IF(C30&lt;=2,'Parasal Eşikler 2026'!$G$7,'Parasal Eşikler 2026'!$G$8)</f>
        <v>15100000</v>
      </c>
      <c r="E30" s="13" t="n">
        <f aca="false">IFERROR(INDEX('Bölgesel Kurallar'!$D$5:$D$10,MATCH(C30,'Bölgesel Kurallar'!$A$5:$A$10,0)),"")</f>
        <v>0</v>
      </c>
      <c r="F30" s="13" t="str">
        <f aca="false">IFERROR(INDEX('Bölgesel Kurallar'!$G$5:$G$10,MATCH(C30,'Bölgesel Kurallar'!$A$5:$A$10,0)),"")</f>
        <v>Hayır</v>
      </c>
      <c r="G30" s="5" t="str">
        <f aca="false">IF(B30="İstanbul","Hedef'te vergi indirimi yok; Öncelikli (c) ve (j) İstanbul hariç; madencilik desteklenmez","—")</f>
        <v>—</v>
      </c>
      <c r="H30" s="13" t="s">
        <v>164</v>
      </c>
      <c r="I30" s="5" t="s">
        <v>164</v>
      </c>
      <c r="J30" s="5" t="s">
        <v>1214</v>
      </c>
      <c r="K30" s="5" t="s">
        <v>1215</v>
      </c>
      <c r="L30" s="5" t="s">
        <v>164</v>
      </c>
      <c r="M30" s="5" t="s">
        <v>1116</v>
      </c>
      <c r="N30" s="5" t="s">
        <v>1216</v>
      </c>
      <c r="O30" s="5" t="s">
        <v>164</v>
      </c>
      <c r="P30" s="5" t="s">
        <v>164</v>
      </c>
      <c r="Q30" s="22" t="s">
        <v>1118</v>
      </c>
      <c r="R30" s="5" t="s">
        <v>164</v>
      </c>
      <c r="S30" s="23" t="s">
        <v>1042</v>
      </c>
    </row>
    <row r="31" customFormat="false" ht="35.05" hidden="false" customHeight="false" outlineLevel="0" collapsed="false">
      <c r="A31" s="21" t="n">
        <v>27</v>
      </c>
      <c r="B31" s="4" t="s">
        <v>1217</v>
      </c>
      <c r="C31" s="19" t="n">
        <v>3</v>
      </c>
      <c r="D31" s="20" t="n">
        <f aca="false">IF(C31&lt;=2,'Parasal Eşikler 2026'!$G$7,'Parasal Eşikler 2026'!$G$8)</f>
        <v>7500000</v>
      </c>
      <c r="E31" s="13" t="n">
        <f aca="false">IFERROR(INDEX('Bölgesel Kurallar'!$D$5:$D$10,MATCH(C31,'Bölgesel Kurallar'!$A$5:$A$10,0)),"")</f>
        <v>2</v>
      </c>
      <c r="F31" s="13" t="str">
        <f aca="false">IFERROR(INDEX('Bölgesel Kurallar'!$G$5:$G$10,MATCH(C31,'Bölgesel Kurallar'!$A$5:$A$10,0)),"")</f>
        <v>Hayır</v>
      </c>
      <c r="G31" s="5" t="str">
        <f aca="false">IF(B31="İstanbul","Hedef'te vergi indirimi yok; Öncelikli (c) ve (j) İstanbul hariç; madencilik desteklenmez","—")</f>
        <v>—</v>
      </c>
      <c r="H31" s="13" t="s">
        <v>164</v>
      </c>
      <c r="I31" s="5" t="s">
        <v>1218</v>
      </c>
      <c r="J31" s="5" t="s">
        <v>1219</v>
      </c>
      <c r="K31" s="5" t="s">
        <v>1220</v>
      </c>
      <c r="L31" s="5" t="s">
        <v>164</v>
      </c>
      <c r="M31" s="5" t="s">
        <v>1046</v>
      </c>
      <c r="N31" s="5" t="s">
        <v>1221</v>
      </c>
      <c r="O31" s="5" t="s">
        <v>1222</v>
      </c>
      <c r="P31" s="5" t="s">
        <v>164</v>
      </c>
      <c r="Q31" s="22" t="s">
        <v>1049</v>
      </c>
      <c r="R31" s="4" t="s">
        <v>1041</v>
      </c>
      <c r="S31" s="23" t="s">
        <v>1042</v>
      </c>
    </row>
    <row r="32" customFormat="false" ht="28.35" hidden="false" customHeight="false" outlineLevel="0" collapsed="false">
      <c r="A32" s="21" t="n">
        <v>28</v>
      </c>
      <c r="B32" s="4" t="s">
        <v>1223</v>
      </c>
      <c r="C32" s="19" t="n">
        <v>5</v>
      </c>
      <c r="D32" s="20" t="n">
        <f aca="false">IF(C32&lt;=2,'Parasal Eşikler 2026'!$G$7,'Parasal Eşikler 2026'!$G$8)</f>
        <v>7500000</v>
      </c>
      <c r="E32" s="13" t="n">
        <f aca="false">IFERROR(INDEX('Bölgesel Kurallar'!$D$5:$D$10,MATCH(C32,'Bölgesel Kurallar'!$A$5:$A$10,0)),"")</f>
        <v>8</v>
      </c>
      <c r="F32" s="13" t="str">
        <f aca="false">IFERROR(INDEX('Bölgesel Kurallar'!$G$5:$G$10,MATCH(C32,'Bölgesel Kurallar'!$A$5:$A$10,0)),"")</f>
        <v>Evet</v>
      </c>
      <c r="G32" s="5" t="str">
        <f aca="false">IF(B32="İstanbul","Hedef'te vergi indirimi yok; Öncelikli (c) ve (j) İstanbul hariç; madencilik desteklenmez","—")</f>
        <v>—</v>
      </c>
      <c r="H32" s="13" t="s">
        <v>164</v>
      </c>
      <c r="I32" s="5" t="s">
        <v>164</v>
      </c>
      <c r="J32" s="5" t="s">
        <v>1224</v>
      </c>
      <c r="K32" s="5" t="s">
        <v>1225</v>
      </c>
      <c r="L32" s="5" t="s">
        <v>164</v>
      </c>
      <c r="M32" s="5" t="s">
        <v>1094</v>
      </c>
      <c r="N32" s="5" t="s">
        <v>1226</v>
      </c>
      <c r="O32" s="5" t="s">
        <v>1227</v>
      </c>
      <c r="P32" s="5" t="s">
        <v>164</v>
      </c>
      <c r="Q32" s="22" t="s">
        <v>1097</v>
      </c>
      <c r="R32" s="5" t="s">
        <v>164</v>
      </c>
      <c r="S32" s="23" t="s">
        <v>1042</v>
      </c>
    </row>
    <row r="33" customFormat="false" ht="35.05" hidden="false" customHeight="false" outlineLevel="0" collapsed="false">
      <c r="A33" s="21" t="n">
        <v>29</v>
      </c>
      <c r="B33" s="4" t="s">
        <v>1228</v>
      </c>
      <c r="C33" s="19" t="n">
        <v>6</v>
      </c>
      <c r="D33" s="20" t="n">
        <f aca="false">IF(C33&lt;=2,'Parasal Eşikler 2026'!$G$7,'Parasal Eşikler 2026'!$G$8)</f>
        <v>7500000</v>
      </c>
      <c r="E33" s="13" t="n">
        <f aca="false">IFERROR(INDEX('Bölgesel Kurallar'!$D$5:$D$10,MATCH(C33,'Bölgesel Kurallar'!$A$5:$A$10,0)),"")</f>
        <v>12</v>
      </c>
      <c r="F33" s="13" t="str">
        <f aca="false">IFERROR(INDEX('Bölgesel Kurallar'!$G$5:$G$10,MATCH(C33,'Bölgesel Kurallar'!$A$5:$A$10,0)),"")</f>
        <v>Evet</v>
      </c>
      <c r="G33" s="5" t="str">
        <f aca="false">IF(B33="İstanbul","Hedef'te vergi indirimi yok; Öncelikli (c) ve (j) İstanbul hariç; madencilik desteklenmez","—")</f>
        <v>—</v>
      </c>
      <c r="H33" s="13" t="s">
        <v>1006</v>
      </c>
      <c r="I33" s="5" t="s">
        <v>164</v>
      </c>
      <c r="J33" s="5" t="s">
        <v>164</v>
      </c>
      <c r="K33" s="5" t="s">
        <v>1229</v>
      </c>
      <c r="L33" s="5" t="s">
        <v>164</v>
      </c>
      <c r="M33" s="5" t="s">
        <v>1094</v>
      </c>
      <c r="N33" s="5" t="s">
        <v>1230</v>
      </c>
      <c r="O33" s="5" t="s">
        <v>1231</v>
      </c>
      <c r="P33" s="5" t="s">
        <v>164</v>
      </c>
      <c r="Q33" s="22" t="s">
        <v>1097</v>
      </c>
      <c r="R33" s="5" t="s">
        <v>164</v>
      </c>
      <c r="S33" s="23" t="s">
        <v>1042</v>
      </c>
    </row>
    <row r="34" customFormat="false" ht="28.35" hidden="false" customHeight="false" outlineLevel="0" collapsed="false">
      <c r="A34" s="21" t="n">
        <v>30</v>
      </c>
      <c r="B34" s="4" t="s">
        <v>1232</v>
      </c>
      <c r="C34" s="19" t="n">
        <v>6</v>
      </c>
      <c r="D34" s="20" t="n">
        <f aca="false">IF(C34&lt;=2,'Parasal Eşikler 2026'!$G$7,'Parasal Eşikler 2026'!$G$8)</f>
        <v>7500000</v>
      </c>
      <c r="E34" s="13" t="n">
        <f aca="false">IFERROR(INDEX('Bölgesel Kurallar'!$D$5:$D$10,MATCH(C34,'Bölgesel Kurallar'!$A$5:$A$10,0)),"")</f>
        <v>12</v>
      </c>
      <c r="F34" s="13" t="str">
        <f aca="false">IFERROR(INDEX('Bölgesel Kurallar'!$G$5:$G$10,MATCH(C34,'Bölgesel Kurallar'!$A$5:$A$10,0)),"")</f>
        <v>Evet</v>
      </c>
      <c r="G34" s="5" t="str">
        <f aca="false">IF(B34="İstanbul","Hedef'te vergi indirimi yok; Öncelikli (c) ve (j) İstanbul hariç; madencilik desteklenmez","—")</f>
        <v>—</v>
      </c>
      <c r="H34" s="13" t="s">
        <v>1006</v>
      </c>
      <c r="I34" s="5" t="s">
        <v>164</v>
      </c>
      <c r="J34" s="5" t="s">
        <v>164</v>
      </c>
      <c r="K34" s="5" t="s">
        <v>1233</v>
      </c>
      <c r="L34" s="5" t="s">
        <v>164</v>
      </c>
      <c r="M34" s="5" t="s">
        <v>1128</v>
      </c>
      <c r="N34" s="5" t="s">
        <v>1234</v>
      </c>
      <c r="O34" s="5" t="s">
        <v>1235</v>
      </c>
      <c r="P34" s="5" t="s">
        <v>164</v>
      </c>
      <c r="Q34" s="22" t="s">
        <v>1131</v>
      </c>
      <c r="R34" s="5" t="s">
        <v>164</v>
      </c>
      <c r="S34" s="23" t="s">
        <v>1042</v>
      </c>
    </row>
    <row r="35" customFormat="false" ht="35.05" hidden="false" customHeight="false" outlineLevel="0" collapsed="false">
      <c r="A35" s="21" t="n">
        <v>31</v>
      </c>
      <c r="B35" s="4" t="s">
        <v>1236</v>
      </c>
      <c r="C35" s="19" t="n">
        <v>5</v>
      </c>
      <c r="D35" s="20" t="n">
        <f aca="false">IF(C35&lt;=2,'Parasal Eşikler 2026'!$G$7,'Parasal Eşikler 2026'!$G$8)</f>
        <v>7500000</v>
      </c>
      <c r="E35" s="13" t="n">
        <f aca="false">IFERROR(INDEX('Bölgesel Kurallar'!$D$5:$D$10,MATCH(C35,'Bölgesel Kurallar'!$A$5:$A$10,0)),"")</f>
        <v>8</v>
      </c>
      <c r="F35" s="13" t="str">
        <f aca="false">IFERROR(INDEX('Bölgesel Kurallar'!$G$5:$G$10,MATCH(C35,'Bölgesel Kurallar'!$A$5:$A$10,0)),"")</f>
        <v>Evet</v>
      </c>
      <c r="G35" s="5" t="str">
        <f aca="false">IF(B35="İstanbul","Hedef'te vergi indirimi yok; Öncelikli (c) ve (j) İstanbul hariç; madencilik desteklenmez","—")</f>
        <v>—</v>
      </c>
      <c r="H35" s="13" t="s">
        <v>164</v>
      </c>
      <c r="I35" s="5" t="s">
        <v>1237</v>
      </c>
      <c r="J35" s="5" t="s">
        <v>164</v>
      </c>
      <c r="K35" s="5" t="s">
        <v>1238</v>
      </c>
      <c r="L35" s="5" t="s">
        <v>164</v>
      </c>
      <c r="M35" s="5" t="s">
        <v>1239</v>
      </c>
      <c r="N35" s="5" t="s">
        <v>1240</v>
      </c>
      <c r="O35" s="5" t="s">
        <v>1241</v>
      </c>
      <c r="P35" s="5" t="s">
        <v>1242</v>
      </c>
      <c r="Q35" s="22" t="s">
        <v>1243</v>
      </c>
      <c r="R35" s="4" t="s">
        <v>1041</v>
      </c>
      <c r="S35" s="23" t="s">
        <v>1042</v>
      </c>
    </row>
    <row r="36" customFormat="false" ht="35.05" hidden="false" customHeight="false" outlineLevel="0" collapsed="false">
      <c r="A36" s="21" t="n">
        <v>32</v>
      </c>
      <c r="B36" s="4" t="s">
        <v>1244</v>
      </c>
      <c r="C36" s="19" t="n">
        <v>3</v>
      </c>
      <c r="D36" s="20" t="n">
        <f aca="false">IF(C36&lt;=2,'Parasal Eşikler 2026'!$G$7,'Parasal Eşikler 2026'!$G$8)</f>
        <v>7500000</v>
      </c>
      <c r="E36" s="13" t="n">
        <f aca="false">IFERROR(INDEX('Bölgesel Kurallar'!$D$5:$D$10,MATCH(C36,'Bölgesel Kurallar'!$A$5:$A$10,0)),"")</f>
        <v>2</v>
      </c>
      <c r="F36" s="13" t="str">
        <f aca="false">IFERROR(INDEX('Bölgesel Kurallar'!$G$5:$G$10,MATCH(C36,'Bölgesel Kurallar'!$A$5:$A$10,0)),"")</f>
        <v>Hayır</v>
      </c>
      <c r="G36" s="5" t="str">
        <f aca="false">IF(B36="İstanbul","Hedef'te vergi indirimi yok; Öncelikli (c) ve (j) İstanbul hariç; madencilik desteklenmez","—")</f>
        <v>—</v>
      </c>
      <c r="H36" s="13" t="s">
        <v>164</v>
      </c>
      <c r="I36" s="5" t="s">
        <v>164</v>
      </c>
      <c r="J36" s="5" t="s">
        <v>1245</v>
      </c>
      <c r="K36" s="5" t="s">
        <v>1246</v>
      </c>
      <c r="L36" s="5" t="s">
        <v>164</v>
      </c>
      <c r="M36" s="5" t="s">
        <v>1087</v>
      </c>
      <c r="N36" s="5" t="s">
        <v>1247</v>
      </c>
      <c r="O36" s="5" t="s">
        <v>1248</v>
      </c>
      <c r="P36" s="5" t="s">
        <v>1249</v>
      </c>
      <c r="Q36" s="22" t="s">
        <v>1091</v>
      </c>
      <c r="R36" s="5" t="s">
        <v>164</v>
      </c>
      <c r="S36" s="23" t="s">
        <v>1042</v>
      </c>
    </row>
    <row r="37" customFormat="false" ht="35.05" hidden="false" customHeight="false" outlineLevel="0" collapsed="false">
      <c r="A37" s="21" t="n">
        <v>33</v>
      </c>
      <c r="B37" s="4" t="s">
        <v>1250</v>
      </c>
      <c r="C37" s="19" t="n">
        <v>2</v>
      </c>
      <c r="D37" s="20" t="n">
        <f aca="false">IF(C37&lt;=2,'Parasal Eşikler 2026'!$G$7,'Parasal Eşikler 2026'!$G$8)</f>
        <v>15100000</v>
      </c>
      <c r="E37" s="13" t="n">
        <f aca="false">IFERROR(INDEX('Bölgesel Kurallar'!$D$5:$D$10,MATCH(C37,'Bölgesel Kurallar'!$A$5:$A$10,0)),"")</f>
        <v>1</v>
      </c>
      <c r="F37" s="13" t="str">
        <f aca="false">IFERROR(INDEX('Bölgesel Kurallar'!$G$5:$G$10,MATCH(C37,'Bölgesel Kurallar'!$A$5:$A$10,0)),"")</f>
        <v>Hayır</v>
      </c>
      <c r="G37" s="5" t="str">
        <f aca="false">IF(B37="İstanbul","Hedef'te vergi indirimi yok; Öncelikli (c) ve (j) İstanbul hariç; madencilik desteklenmez","—")</f>
        <v>—</v>
      </c>
      <c r="H37" s="13" t="s">
        <v>164</v>
      </c>
      <c r="I37" s="5" t="s">
        <v>164</v>
      </c>
      <c r="J37" s="5" t="s">
        <v>1251</v>
      </c>
      <c r="K37" s="5" t="s">
        <v>1252</v>
      </c>
      <c r="L37" s="5" t="s">
        <v>1253</v>
      </c>
      <c r="M37" s="5" t="s">
        <v>1037</v>
      </c>
      <c r="N37" s="5" t="s">
        <v>1254</v>
      </c>
      <c r="O37" s="5" t="s">
        <v>1255</v>
      </c>
      <c r="P37" s="5" t="s">
        <v>164</v>
      </c>
      <c r="Q37" s="22" t="s">
        <v>1040</v>
      </c>
      <c r="R37" s="4" t="s">
        <v>1041</v>
      </c>
      <c r="S37" s="23" t="s">
        <v>1042</v>
      </c>
    </row>
    <row r="38" customFormat="false" ht="35.05" hidden="false" customHeight="false" outlineLevel="0" collapsed="false">
      <c r="A38" s="21" t="n">
        <v>34</v>
      </c>
      <c r="B38" s="4" t="s">
        <v>533</v>
      </c>
      <c r="C38" s="19" t="n">
        <v>1</v>
      </c>
      <c r="D38" s="20" t="n">
        <f aca="false">IF(C38&lt;=2,'Parasal Eşikler 2026'!$G$7,'Parasal Eşikler 2026'!$G$8)</f>
        <v>15100000</v>
      </c>
      <c r="E38" s="13" t="n">
        <f aca="false">IFERROR(INDEX('Bölgesel Kurallar'!$D$5:$D$10,MATCH(C38,'Bölgesel Kurallar'!$A$5:$A$10,0)),"")</f>
        <v>0</v>
      </c>
      <c r="F38" s="13" t="str">
        <f aca="false">IFERROR(INDEX('Bölgesel Kurallar'!$G$5:$G$10,MATCH(C38,'Bölgesel Kurallar'!$A$5:$A$10,0)),"")</f>
        <v>Hayır</v>
      </c>
      <c r="G38" s="5" t="str">
        <f aca="false">IF(B38="İstanbul","Hedef'te vergi indirimi yok; Öncelikli (c) ve (j) İstanbul hariç; madencilik desteklenmez","—")</f>
        <v>Hedef'te vergi indirimi yok; Öncelikli (c) ve (j) İstanbul hariç; madencilik desteklenmez</v>
      </c>
      <c r="H38" s="13" t="s">
        <v>164</v>
      </c>
      <c r="I38" s="5" t="s">
        <v>164</v>
      </c>
      <c r="J38" s="5" t="s">
        <v>164</v>
      </c>
      <c r="K38" s="5" t="s">
        <v>1256</v>
      </c>
      <c r="L38" s="5" t="s">
        <v>164</v>
      </c>
      <c r="M38" s="5" t="s">
        <v>1257</v>
      </c>
      <c r="N38" s="5" t="s">
        <v>1258</v>
      </c>
      <c r="O38" s="5" t="s">
        <v>1259</v>
      </c>
      <c r="P38" s="5" t="s">
        <v>1260</v>
      </c>
      <c r="Q38" s="22" t="s">
        <v>1261</v>
      </c>
      <c r="R38" s="4" t="s">
        <v>1262</v>
      </c>
      <c r="S38" s="23" t="s">
        <v>1042</v>
      </c>
    </row>
    <row r="39" customFormat="false" ht="35.05" hidden="false" customHeight="false" outlineLevel="0" collapsed="false">
      <c r="A39" s="21" t="n">
        <v>35</v>
      </c>
      <c r="B39" s="4" t="s">
        <v>1263</v>
      </c>
      <c r="C39" s="19" t="n">
        <v>1</v>
      </c>
      <c r="D39" s="20" t="n">
        <f aca="false">IF(C39&lt;=2,'Parasal Eşikler 2026'!$G$7,'Parasal Eşikler 2026'!$G$8)</f>
        <v>15100000</v>
      </c>
      <c r="E39" s="13" t="n">
        <f aca="false">IFERROR(INDEX('Bölgesel Kurallar'!$D$5:$D$10,MATCH(C39,'Bölgesel Kurallar'!$A$5:$A$10,0)),"")</f>
        <v>0</v>
      </c>
      <c r="F39" s="13" t="str">
        <f aca="false">IFERROR(INDEX('Bölgesel Kurallar'!$G$5:$G$10,MATCH(C39,'Bölgesel Kurallar'!$A$5:$A$10,0)),"")</f>
        <v>Hayır</v>
      </c>
      <c r="G39" s="5" t="str">
        <f aca="false">IF(B39="İstanbul","Hedef'te vergi indirimi yok; Öncelikli (c) ve (j) İstanbul hariç; madencilik desteklenmez","—")</f>
        <v>—</v>
      </c>
      <c r="H39" s="13" t="s">
        <v>164</v>
      </c>
      <c r="I39" s="5" t="s">
        <v>164</v>
      </c>
      <c r="J39" s="5" t="s">
        <v>1264</v>
      </c>
      <c r="K39" s="5" t="s">
        <v>1265</v>
      </c>
      <c r="L39" s="5" t="s">
        <v>164</v>
      </c>
      <c r="M39" s="5" t="s">
        <v>1266</v>
      </c>
      <c r="N39" s="5" t="s">
        <v>1267</v>
      </c>
      <c r="O39" s="5" t="s">
        <v>1268</v>
      </c>
      <c r="P39" s="5" t="s">
        <v>164</v>
      </c>
      <c r="Q39" s="22" t="s">
        <v>1269</v>
      </c>
      <c r="R39" s="5" t="s">
        <v>164</v>
      </c>
      <c r="S39" s="23" t="s">
        <v>1042</v>
      </c>
    </row>
    <row r="40" customFormat="false" ht="35.05" hidden="false" customHeight="false" outlineLevel="0" collapsed="false">
      <c r="A40" s="21" t="n">
        <v>36</v>
      </c>
      <c r="B40" s="4" t="s">
        <v>1270</v>
      </c>
      <c r="C40" s="19" t="n">
        <v>6</v>
      </c>
      <c r="D40" s="20" t="n">
        <f aca="false">IF(C40&lt;=2,'Parasal Eşikler 2026'!$G$7,'Parasal Eşikler 2026'!$G$8)</f>
        <v>7500000</v>
      </c>
      <c r="E40" s="13" t="n">
        <f aca="false">IFERROR(INDEX('Bölgesel Kurallar'!$D$5:$D$10,MATCH(C40,'Bölgesel Kurallar'!$A$5:$A$10,0)),"")</f>
        <v>12</v>
      </c>
      <c r="F40" s="13" t="str">
        <f aca="false">IFERROR(INDEX('Bölgesel Kurallar'!$G$5:$G$10,MATCH(C40,'Bölgesel Kurallar'!$A$5:$A$10,0)),"")</f>
        <v>Evet</v>
      </c>
      <c r="G40" s="5" t="str">
        <f aca="false">IF(B40="İstanbul","Hedef'te vergi indirimi yok; Öncelikli (c) ve (j) İstanbul hariç; madencilik desteklenmez","—")</f>
        <v>—</v>
      </c>
      <c r="H40" s="13" t="s">
        <v>1006</v>
      </c>
      <c r="I40" s="5" t="s">
        <v>164</v>
      </c>
      <c r="J40" s="5" t="s">
        <v>164</v>
      </c>
      <c r="K40" s="5" t="s">
        <v>1271</v>
      </c>
      <c r="L40" s="5" t="s">
        <v>164</v>
      </c>
      <c r="M40" s="5" t="s">
        <v>1061</v>
      </c>
      <c r="N40" s="5" t="s">
        <v>1272</v>
      </c>
      <c r="O40" s="5" t="s">
        <v>1273</v>
      </c>
      <c r="P40" s="5" t="s">
        <v>1274</v>
      </c>
      <c r="Q40" s="22" t="s">
        <v>1064</v>
      </c>
      <c r="R40" s="5" t="s">
        <v>164</v>
      </c>
      <c r="S40" s="23" t="s">
        <v>1042</v>
      </c>
    </row>
    <row r="41" customFormat="false" ht="35.05" hidden="false" customHeight="false" outlineLevel="0" collapsed="false">
      <c r="A41" s="21" t="n">
        <v>37</v>
      </c>
      <c r="B41" s="4" t="s">
        <v>1275</v>
      </c>
      <c r="C41" s="19" t="n">
        <v>4</v>
      </c>
      <c r="D41" s="20" t="n">
        <f aca="false">IF(C41&lt;=2,'Parasal Eşikler 2026'!$G$7,'Parasal Eşikler 2026'!$G$8)</f>
        <v>7500000</v>
      </c>
      <c r="E41" s="13" t="n">
        <f aca="false">IFERROR(INDEX('Bölgesel Kurallar'!$D$5:$D$10,MATCH(C41,'Bölgesel Kurallar'!$A$5:$A$10,0)),"")</f>
        <v>4</v>
      </c>
      <c r="F41" s="13" t="str">
        <f aca="false">IFERROR(INDEX('Bölgesel Kurallar'!$G$5:$G$10,MATCH(C41,'Bölgesel Kurallar'!$A$5:$A$10,0)),"")</f>
        <v>Evet</v>
      </c>
      <c r="G41" s="5" t="str">
        <f aca="false">IF(B41="İstanbul","Hedef'te vergi indirimi yok; Öncelikli (c) ve (j) İstanbul hariç; madencilik desteklenmez","—")</f>
        <v>—</v>
      </c>
      <c r="H41" s="13" t="s">
        <v>164</v>
      </c>
      <c r="I41" s="5" t="s">
        <v>164</v>
      </c>
      <c r="J41" s="5" t="s">
        <v>1276</v>
      </c>
      <c r="K41" s="5" t="s">
        <v>1277</v>
      </c>
      <c r="L41" s="5" t="s">
        <v>164</v>
      </c>
      <c r="M41" s="5" t="s">
        <v>1158</v>
      </c>
      <c r="N41" s="5" t="s">
        <v>1278</v>
      </c>
      <c r="O41" s="5" t="s">
        <v>1279</v>
      </c>
      <c r="P41" s="5" t="s">
        <v>1280</v>
      </c>
      <c r="Q41" s="22" t="s">
        <v>1162</v>
      </c>
      <c r="R41" s="4" t="s">
        <v>1082</v>
      </c>
      <c r="S41" s="23" t="s">
        <v>1042</v>
      </c>
    </row>
    <row r="42" customFormat="false" ht="35.05" hidden="false" customHeight="false" outlineLevel="0" collapsed="false">
      <c r="A42" s="21" t="n">
        <v>38</v>
      </c>
      <c r="B42" s="4" t="s">
        <v>1281</v>
      </c>
      <c r="C42" s="19" t="n">
        <v>2</v>
      </c>
      <c r="D42" s="20" t="n">
        <f aca="false">IF(C42&lt;=2,'Parasal Eşikler 2026'!$G$7,'Parasal Eşikler 2026'!$G$8)</f>
        <v>15100000</v>
      </c>
      <c r="E42" s="13" t="n">
        <f aca="false">IFERROR(INDEX('Bölgesel Kurallar'!$D$5:$D$10,MATCH(C42,'Bölgesel Kurallar'!$A$5:$A$10,0)),"")</f>
        <v>1</v>
      </c>
      <c r="F42" s="13" t="str">
        <f aca="false">IFERROR(INDEX('Bölgesel Kurallar'!$G$5:$G$10,MATCH(C42,'Bölgesel Kurallar'!$A$5:$A$10,0)),"")</f>
        <v>Hayır</v>
      </c>
      <c r="G42" s="5" t="str">
        <f aca="false">IF(B42="İstanbul","Hedef'te vergi indirimi yok; Öncelikli (c) ve (j) İstanbul hariç; madencilik desteklenmez","—")</f>
        <v>—</v>
      </c>
      <c r="H42" s="13" t="s">
        <v>164</v>
      </c>
      <c r="I42" s="5" t="s">
        <v>164</v>
      </c>
      <c r="J42" s="5" t="s">
        <v>1282</v>
      </c>
      <c r="K42" s="5" t="s">
        <v>1283</v>
      </c>
      <c r="L42" s="5" t="s">
        <v>164</v>
      </c>
      <c r="M42" s="5" t="s">
        <v>1284</v>
      </c>
      <c r="N42" s="5" t="s">
        <v>1285</v>
      </c>
      <c r="O42" s="5" t="s">
        <v>1286</v>
      </c>
      <c r="P42" s="5" t="s">
        <v>164</v>
      </c>
      <c r="Q42" s="22" t="s">
        <v>1287</v>
      </c>
      <c r="R42" s="5" t="s">
        <v>164</v>
      </c>
      <c r="S42" s="23" t="s">
        <v>1042</v>
      </c>
    </row>
    <row r="43" customFormat="false" ht="35.05" hidden="false" customHeight="false" outlineLevel="0" collapsed="false">
      <c r="A43" s="21" t="n">
        <v>39</v>
      </c>
      <c r="B43" s="4" t="s">
        <v>1288</v>
      </c>
      <c r="C43" s="19" t="n">
        <v>3</v>
      </c>
      <c r="D43" s="20" t="n">
        <f aca="false">IF(C43&lt;=2,'Parasal Eşikler 2026'!$G$7,'Parasal Eşikler 2026'!$G$8)</f>
        <v>7500000</v>
      </c>
      <c r="E43" s="13" t="n">
        <f aca="false">IFERROR(INDEX('Bölgesel Kurallar'!$D$5:$D$10,MATCH(C43,'Bölgesel Kurallar'!$A$5:$A$10,0)),"")</f>
        <v>2</v>
      </c>
      <c r="F43" s="13" t="str">
        <f aca="false">IFERROR(INDEX('Bölgesel Kurallar'!$G$5:$G$10,MATCH(C43,'Bölgesel Kurallar'!$A$5:$A$10,0)),"")</f>
        <v>Hayır</v>
      </c>
      <c r="G43" s="5" t="str">
        <f aca="false">IF(B43="İstanbul","Hedef'te vergi indirimi yok; Öncelikli (c) ve (j) İstanbul hariç; madencilik desteklenmez","—")</f>
        <v>—</v>
      </c>
      <c r="H43" s="13" t="s">
        <v>164</v>
      </c>
      <c r="I43" s="5" t="s">
        <v>164</v>
      </c>
      <c r="J43" s="5" t="s">
        <v>1289</v>
      </c>
      <c r="K43" s="5" t="s">
        <v>1290</v>
      </c>
      <c r="L43" s="5" t="s">
        <v>1291</v>
      </c>
      <c r="M43" s="5" t="s">
        <v>1188</v>
      </c>
      <c r="N43" s="5" t="s">
        <v>1292</v>
      </c>
      <c r="O43" s="5" t="s">
        <v>1293</v>
      </c>
      <c r="P43" s="5" t="s">
        <v>164</v>
      </c>
      <c r="Q43" s="22" t="s">
        <v>1190</v>
      </c>
      <c r="R43" s="5" t="s">
        <v>164</v>
      </c>
      <c r="S43" s="23" t="s">
        <v>1042</v>
      </c>
    </row>
    <row r="44" customFormat="false" ht="35.05" hidden="false" customHeight="false" outlineLevel="0" collapsed="false">
      <c r="A44" s="21" t="n">
        <v>40</v>
      </c>
      <c r="B44" s="4" t="s">
        <v>1294</v>
      </c>
      <c r="C44" s="19" t="n">
        <v>4</v>
      </c>
      <c r="D44" s="20" t="n">
        <f aca="false">IF(C44&lt;=2,'Parasal Eşikler 2026'!$G$7,'Parasal Eşikler 2026'!$G$8)</f>
        <v>7500000</v>
      </c>
      <c r="E44" s="13" t="n">
        <f aca="false">IFERROR(INDEX('Bölgesel Kurallar'!$D$5:$D$10,MATCH(C44,'Bölgesel Kurallar'!$A$5:$A$10,0)),"")</f>
        <v>4</v>
      </c>
      <c r="F44" s="13" t="str">
        <f aca="false">IFERROR(INDEX('Bölgesel Kurallar'!$G$5:$G$10,MATCH(C44,'Bölgesel Kurallar'!$A$5:$A$10,0)),"")</f>
        <v>Evet</v>
      </c>
      <c r="G44" s="5" t="str">
        <f aca="false">IF(B44="İstanbul","Hedef'te vergi indirimi yok; Öncelikli (c) ve (j) İstanbul hariç; madencilik desteklenmez","—")</f>
        <v>—</v>
      </c>
      <c r="H44" s="13" t="s">
        <v>164</v>
      </c>
      <c r="I44" s="5" t="s">
        <v>164</v>
      </c>
      <c r="J44" s="5" t="s">
        <v>1295</v>
      </c>
      <c r="K44" s="5" t="s">
        <v>1296</v>
      </c>
      <c r="L44" s="5" t="s">
        <v>1068</v>
      </c>
      <c r="M44" s="5" t="s">
        <v>1297</v>
      </c>
      <c r="N44" s="5" t="s">
        <v>1298</v>
      </c>
      <c r="O44" s="5" t="s">
        <v>1299</v>
      </c>
      <c r="P44" s="5" t="s">
        <v>1300</v>
      </c>
      <c r="Q44" s="22" t="s">
        <v>1301</v>
      </c>
      <c r="R44" s="5" t="s">
        <v>164</v>
      </c>
      <c r="S44" s="23" t="s">
        <v>1042</v>
      </c>
    </row>
    <row r="45" customFormat="false" ht="46.25" hidden="false" customHeight="false" outlineLevel="0" collapsed="false">
      <c r="A45" s="21" t="n">
        <v>41</v>
      </c>
      <c r="B45" s="4" t="s">
        <v>1302</v>
      </c>
      <c r="C45" s="19" t="n">
        <v>1</v>
      </c>
      <c r="D45" s="20" t="n">
        <f aca="false">IF(C45&lt;=2,'Parasal Eşikler 2026'!$G$7,'Parasal Eşikler 2026'!$G$8)</f>
        <v>15100000</v>
      </c>
      <c r="E45" s="13" t="n">
        <f aca="false">IFERROR(INDEX('Bölgesel Kurallar'!$D$5:$D$10,MATCH(C45,'Bölgesel Kurallar'!$A$5:$A$10,0)),"")</f>
        <v>0</v>
      </c>
      <c r="F45" s="13" t="str">
        <f aca="false">IFERROR(INDEX('Bölgesel Kurallar'!$G$5:$G$10,MATCH(C45,'Bölgesel Kurallar'!$A$5:$A$10,0)),"")</f>
        <v>Hayır</v>
      </c>
      <c r="G45" s="5" t="str">
        <f aca="false">IF(B45="İstanbul","Hedef'te vergi indirimi yok; Öncelikli (c) ve (j) İstanbul hariç; madencilik desteklenmez","—")</f>
        <v>—</v>
      </c>
      <c r="H45" s="13" t="s">
        <v>164</v>
      </c>
      <c r="I45" s="5" t="s">
        <v>164</v>
      </c>
      <c r="J45" s="5" t="s">
        <v>1303</v>
      </c>
      <c r="K45" s="5" t="s">
        <v>1304</v>
      </c>
      <c r="L45" s="5" t="s">
        <v>164</v>
      </c>
      <c r="M45" s="5" t="s">
        <v>1135</v>
      </c>
      <c r="N45" s="5" t="s">
        <v>1305</v>
      </c>
      <c r="O45" s="5" t="s">
        <v>164</v>
      </c>
      <c r="P45" s="5" t="s">
        <v>1306</v>
      </c>
      <c r="Q45" s="22" t="s">
        <v>1137</v>
      </c>
      <c r="R45" s="5" t="s">
        <v>164</v>
      </c>
      <c r="S45" s="23" t="s">
        <v>1042</v>
      </c>
    </row>
    <row r="46" customFormat="false" ht="46.25" hidden="false" customHeight="false" outlineLevel="0" collapsed="false">
      <c r="A46" s="21" t="n">
        <v>42</v>
      </c>
      <c r="B46" s="4" t="s">
        <v>1307</v>
      </c>
      <c r="C46" s="19" t="n">
        <v>2</v>
      </c>
      <c r="D46" s="20" t="n">
        <f aca="false">IF(C46&lt;=2,'Parasal Eşikler 2026'!$G$7,'Parasal Eşikler 2026'!$G$8)</f>
        <v>15100000</v>
      </c>
      <c r="E46" s="13" t="n">
        <f aca="false">IFERROR(INDEX('Bölgesel Kurallar'!$D$5:$D$10,MATCH(C46,'Bölgesel Kurallar'!$A$5:$A$10,0)),"")</f>
        <v>1</v>
      </c>
      <c r="F46" s="13" t="str">
        <f aca="false">IFERROR(INDEX('Bölgesel Kurallar'!$G$5:$G$10,MATCH(C46,'Bölgesel Kurallar'!$A$5:$A$10,0)),"")</f>
        <v>Hayır</v>
      </c>
      <c r="G46" s="5" t="str">
        <f aca="false">IF(B46="İstanbul","Hedef'te vergi indirimi yok; Öncelikli (c) ve (j) İstanbul hariç; madencilik desteklenmez","—")</f>
        <v>—</v>
      </c>
      <c r="H46" s="13" t="s">
        <v>164</v>
      </c>
      <c r="I46" s="5" t="s">
        <v>164</v>
      </c>
      <c r="J46" s="5" t="s">
        <v>1308</v>
      </c>
      <c r="K46" s="5" t="s">
        <v>1309</v>
      </c>
      <c r="L46" s="5" t="s">
        <v>164</v>
      </c>
      <c r="M46" s="5" t="s">
        <v>1310</v>
      </c>
      <c r="N46" s="5" t="s">
        <v>1311</v>
      </c>
      <c r="O46" s="5" t="s">
        <v>1312</v>
      </c>
      <c r="P46" s="5" t="s">
        <v>1313</v>
      </c>
      <c r="Q46" s="22" t="s">
        <v>1314</v>
      </c>
      <c r="R46" s="5" t="s">
        <v>164</v>
      </c>
      <c r="S46" s="23" t="s">
        <v>1042</v>
      </c>
    </row>
    <row r="47" customFormat="false" ht="35.05" hidden="false" customHeight="false" outlineLevel="0" collapsed="false">
      <c r="A47" s="21" t="n">
        <v>43</v>
      </c>
      <c r="B47" s="4" t="s">
        <v>1315</v>
      </c>
      <c r="C47" s="19" t="n">
        <v>3</v>
      </c>
      <c r="D47" s="20" t="n">
        <f aca="false">IF(C47&lt;=2,'Parasal Eşikler 2026'!$G$7,'Parasal Eşikler 2026'!$G$8)</f>
        <v>7500000</v>
      </c>
      <c r="E47" s="13" t="n">
        <f aca="false">IFERROR(INDEX('Bölgesel Kurallar'!$D$5:$D$10,MATCH(C47,'Bölgesel Kurallar'!$A$5:$A$10,0)),"")</f>
        <v>2</v>
      </c>
      <c r="F47" s="13" t="str">
        <f aca="false">IFERROR(INDEX('Bölgesel Kurallar'!$G$5:$G$10,MATCH(C47,'Bölgesel Kurallar'!$A$5:$A$10,0)),"")</f>
        <v>Hayır</v>
      </c>
      <c r="G47" s="5" t="str">
        <f aca="false">IF(B47="İstanbul","Hedef'te vergi indirimi yok; Öncelikli (c) ve (j) İstanbul hariç; madencilik desteklenmez","—")</f>
        <v>—</v>
      </c>
      <c r="H47" s="13" t="s">
        <v>164</v>
      </c>
      <c r="I47" s="5" t="s">
        <v>164</v>
      </c>
      <c r="J47" s="5" t="s">
        <v>1316</v>
      </c>
      <c r="K47" s="5" t="s">
        <v>1317</v>
      </c>
      <c r="L47" s="5" t="s">
        <v>164</v>
      </c>
      <c r="M47" s="5" t="s">
        <v>1054</v>
      </c>
      <c r="N47" s="5" t="s">
        <v>1318</v>
      </c>
      <c r="O47" s="5" t="s">
        <v>1319</v>
      </c>
      <c r="P47" s="5" t="s">
        <v>1320</v>
      </c>
      <c r="Q47" s="22" t="s">
        <v>1057</v>
      </c>
      <c r="R47" s="5" t="s">
        <v>164</v>
      </c>
      <c r="S47" s="23" t="s">
        <v>1042</v>
      </c>
    </row>
    <row r="48" customFormat="false" ht="35.05" hidden="false" customHeight="false" outlineLevel="0" collapsed="false">
      <c r="A48" s="21" t="n">
        <v>44</v>
      </c>
      <c r="B48" s="4" t="s">
        <v>1321</v>
      </c>
      <c r="C48" s="19" t="n">
        <v>4</v>
      </c>
      <c r="D48" s="20" t="n">
        <f aca="false">IF(C48&lt;=2,'Parasal Eşikler 2026'!$G$7,'Parasal Eşikler 2026'!$G$8)</f>
        <v>7500000</v>
      </c>
      <c r="E48" s="13" t="n">
        <f aca="false">IFERROR(INDEX('Bölgesel Kurallar'!$D$5:$D$10,MATCH(C48,'Bölgesel Kurallar'!$A$5:$A$10,0)),"")</f>
        <v>4</v>
      </c>
      <c r="F48" s="13" t="str">
        <f aca="false">IFERROR(INDEX('Bölgesel Kurallar'!$G$5:$G$10,MATCH(C48,'Bölgesel Kurallar'!$A$5:$A$10,0)),"")</f>
        <v>Evet</v>
      </c>
      <c r="G48" s="5" t="str">
        <f aca="false">IF(B48="İstanbul","Hedef'te vergi indirimi yok; Öncelikli (c) ve (j) İstanbul hariç; madencilik desteklenmez","—")</f>
        <v>—</v>
      </c>
      <c r="H48" s="13" t="s">
        <v>1006</v>
      </c>
      <c r="I48" s="5" t="s">
        <v>1322</v>
      </c>
      <c r="J48" s="5" t="s">
        <v>164</v>
      </c>
      <c r="K48" s="5" t="s">
        <v>1323</v>
      </c>
      <c r="L48" s="5" t="s">
        <v>1324</v>
      </c>
      <c r="M48" s="5" t="s">
        <v>1121</v>
      </c>
      <c r="N48" s="5" t="s">
        <v>1325</v>
      </c>
      <c r="O48" s="5" t="s">
        <v>1326</v>
      </c>
      <c r="P48" s="5" t="s">
        <v>1327</v>
      </c>
      <c r="Q48" s="22" t="s">
        <v>1125</v>
      </c>
      <c r="R48" s="5" t="s">
        <v>164</v>
      </c>
      <c r="S48" s="23" t="s">
        <v>1042</v>
      </c>
    </row>
    <row r="49" customFormat="false" ht="46.25" hidden="false" customHeight="false" outlineLevel="0" collapsed="false">
      <c r="A49" s="21" t="n">
        <v>45</v>
      </c>
      <c r="B49" s="4" t="s">
        <v>1328</v>
      </c>
      <c r="C49" s="19" t="n">
        <v>2</v>
      </c>
      <c r="D49" s="20" t="n">
        <f aca="false">IF(C49&lt;=2,'Parasal Eşikler 2026'!$G$7,'Parasal Eşikler 2026'!$G$8)</f>
        <v>15100000</v>
      </c>
      <c r="E49" s="13" t="n">
        <f aca="false">IFERROR(INDEX('Bölgesel Kurallar'!$D$5:$D$10,MATCH(C49,'Bölgesel Kurallar'!$A$5:$A$10,0)),"")</f>
        <v>1</v>
      </c>
      <c r="F49" s="13" t="str">
        <f aca="false">IFERROR(INDEX('Bölgesel Kurallar'!$G$5:$G$10,MATCH(C49,'Bölgesel Kurallar'!$A$5:$A$10,0)),"")</f>
        <v>Hayır</v>
      </c>
      <c r="G49" s="5" t="str">
        <f aca="false">IF(B49="İstanbul","Hedef'te vergi indirimi yok; Öncelikli (c) ve (j) İstanbul hariç; madencilik desteklenmez","—")</f>
        <v>—</v>
      </c>
      <c r="H49" s="13" t="s">
        <v>164</v>
      </c>
      <c r="I49" s="5" t="s">
        <v>164</v>
      </c>
      <c r="J49" s="5" t="s">
        <v>1329</v>
      </c>
      <c r="K49" s="5" t="s">
        <v>1330</v>
      </c>
      <c r="L49" s="5" t="s">
        <v>1331</v>
      </c>
      <c r="M49" s="5" t="s">
        <v>1054</v>
      </c>
      <c r="N49" s="5" t="s">
        <v>1332</v>
      </c>
      <c r="O49" s="5" t="s">
        <v>164</v>
      </c>
      <c r="P49" s="5" t="s">
        <v>1333</v>
      </c>
      <c r="Q49" s="22" t="s">
        <v>1057</v>
      </c>
      <c r="R49" s="5" t="s">
        <v>164</v>
      </c>
      <c r="S49" s="23" t="s">
        <v>1042</v>
      </c>
    </row>
    <row r="50" customFormat="false" ht="35.05" hidden="false" customHeight="false" outlineLevel="0" collapsed="false">
      <c r="A50" s="21" t="n">
        <v>46</v>
      </c>
      <c r="B50" s="4" t="s">
        <v>1334</v>
      </c>
      <c r="C50" s="19" t="n">
        <v>5</v>
      </c>
      <c r="D50" s="20" t="n">
        <f aca="false">IF(C50&lt;=2,'Parasal Eşikler 2026'!$G$7,'Parasal Eşikler 2026'!$G$8)</f>
        <v>7500000</v>
      </c>
      <c r="E50" s="13" t="n">
        <f aca="false">IFERROR(INDEX('Bölgesel Kurallar'!$D$5:$D$10,MATCH(C50,'Bölgesel Kurallar'!$A$5:$A$10,0)),"")</f>
        <v>8</v>
      </c>
      <c r="F50" s="13" t="str">
        <f aca="false">IFERROR(INDEX('Bölgesel Kurallar'!$G$5:$G$10,MATCH(C50,'Bölgesel Kurallar'!$A$5:$A$10,0)),"")</f>
        <v>Evet</v>
      </c>
      <c r="G50" s="5" t="str">
        <f aca="false">IF(B50="İstanbul","Hedef'te vergi indirimi yok; Öncelikli (c) ve (j) İstanbul hariç; madencilik desteklenmez","—")</f>
        <v>—</v>
      </c>
      <c r="H50" s="13" t="s">
        <v>164</v>
      </c>
      <c r="I50" s="5" t="s">
        <v>1335</v>
      </c>
      <c r="J50" s="5" t="s">
        <v>164</v>
      </c>
      <c r="K50" s="5" t="s">
        <v>1336</v>
      </c>
      <c r="L50" s="5" t="s">
        <v>164</v>
      </c>
      <c r="M50" s="5" t="s">
        <v>1239</v>
      </c>
      <c r="N50" s="5" t="s">
        <v>1337</v>
      </c>
      <c r="O50" s="5" t="s">
        <v>1338</v>
      </c>
      <c r="P50" s="5" t="s">
        <v>1339</v>
      </c>
      <c r="Q50" s="22" t="s">
        <v>1243</v>
      </c>
      <c r="R50" s="5" t="s">
        <v>164</v>
      </c>
      <c r="S50" s="23" t="s">
        <v>1042</v>
      </c>
    </row>
    <row r="51" customFormat="false" ht="28.35" hidden="false" customHeight="false" outlineLevel="0" collapsed="false">
      <c r="A51" s="21" t="n">
        <v>47</v>
      </c>
      <c r="B51" s="4" t="s">
        <v>1340</v>
      </c>
      <c r="C51" s="19" t="n">
        <v>6</v>
      </c>
      <c r="D51" s="20" t="n">
        <f aca="false">IF(C51&lt;=2,'Parasal Eşikler 2026'!$G$7,'Parasal Eşikler 2026'!$G$8)</f>
        <v>7500000</v>
      </c>
      <c r="E51" s="13" t="n">
        <f aca="false">IFERROR(INDEX('Bölgesel Kurallar'!$D$5:$D$10,MATCH(C51,'Bölgesel Kurallar'!$A$5:$A$10,0)),"")</f>
        <v>12</v>
      </c>
      <c r="F51" s="13" t="str">
        <f aca="false">IFERROR(INDEX('Bölgesel Kurallar'!$G$5:$G$10,MATCH(C51,'Bölgesel Kurallar'!$A$5:$A$10,0)),"")</f>
        <v>Evet</v>
      </c>
      <c r="G51" s="5" t="str">
        <f aca="false">IF(B51="İstanbul","Hedef'te vergi indirimi yok; Öncelikli (c) ve (j) İstanbul hariç; madencilik desteklenmez","—")</f>
        <v>—</v>
      </c>
      <c r="H51" s="13" t="s">
        <v>1006</v>
      </c>
      <c r="I51" s="5" t="s">
        <v>164</v>
      </c>
      <c r="J51" s="5" t="s">
        <v>164</v>
      </c>
      <c r="K51" s="5" t="s">
        <v>1341</v>
      </c>
      <c r="L51" s="5" t="s">
        <v>164</v>
      </c>
      <c r="M51" s="5" t="s">
        <v>1342</v>
      </c>
      <c r="N51" s="5" t="s">
        <v>1343</v>
      </c>
      <c r="O51" s="5" t="s">
        <v>1344</v>
      </c>
      <c r="P51" s="5" t="s">
        <v>164</v>
      </c>
      <c r="Q51" s="22" t="s">
        <v>1345</v>
      </c>
      <c r="R51" s="5" t="s">
        <v>164</v>
      </c>
      <c r="S51" s="23" t="s">
        <v>1042</v>
      </c>
    </row>
    <row r="52" customFormat="false" ht="35.05" hidden="false" customHeight="false" outlineLevel="0" collapsed="false">
      <c r="A52" s="21" t="n">
        <v>48</v>
      </c>
      <c r="B52" s="4" t="s">
        <v>1346</v>
      </c>
      <c r="C52" s="19" t="n">
        <v>1</v>
      </c>
      <c r="D52" s="20" t="n">
        <f aca="false">IF(C52&lt;=2,'Parasal Eşikler 2026'!$G$7,'Parasal Eşikler 2026'!$G$8)</f>
        <v>15100000</v>
      </c>
      <c r="E52" s="13" t="n">
        <f aca="false">IFERROR(INDEX('Bölgesel Kurallar'!$D$5:$D$10,MATCH(C52,'Bölgesel Kurallar'!$A$5:$A$10,0)),"")</f>
        <v>0</v>
      </c>
      <c r="F52" s="13" t="str">
        <f aca="false">IFERROR(INDEX('Bölgesel Kurallar'!$G$5:$G$10,MATCH(C52,'Bölgesel Kurallar'!$A$5:$A$10,0)),"")</f>
        <v>Hayır</v>
      </c>
      <c r="G52" s="5" t="str">
        <f aca="false">IF(B52="İstanbul","Hedef'te vergi indirimi yok; Öncelikli (c) ve (j) İstanbul hariç; madencilik desteklenmez","—")</f>
        <v>—</v>
      </c>
      <c r="H52" s="13" t="s">
        <v>164</v>
      </c>
      <c r="I52" s="5" t="s">
        <v>164</v>
      </c>
      <c r="J52" s="5" t="s">
        <v>1347</v>
      </c>
      <c r="K52" s="5" t="s">
        <v>1348</v>
      </c>
      <c r="L52" s="5" t="s">
        <v>164</v>
      </c>
      <c r="M52" s="5" t="s">
        <v>1101</v>
      </c>
      <c r="N52" s="5" t="s">
        <v>1349</v>
      </c>
      <c r="O52" s="5" t="s">
        <v>1350</v>
      </c>
      <c r="P52" s="5" t="s">
        <v>1351</v>
      </c>
      <c r="Q52" s="22" t="s">
        <v>1105</v>
      </c>
      <c r="R52" s="5" t="s">
        <v>164</v>
      </c>
      <c r="S52" s="23" t="s">
        <v>1042</v>
      </c>
    </row>
    <row r="53" customFormat="false" ht="28.35" hidden="false" customHeight="false" outlineLevel="0" collapsed="false">
      <c r="A53" s="21" t="n">
        <v>49</v>
      </c>
      <c r="B53" s="4" t="s">
        <v>1352</v>
      </c>
      <c r="C53" s="19" t="n">
        <v>6</v>
      </c>
      <c r="D53" s="20" t="n">
        <f aca="false">IF(C53&lt;=2,'Parasal Eşikler 2026'!$G$7,'Parasal Eşikler 2026'!$G$8)</f>
        <v>7500000</v>
      </c>
      <c r="E53" s="13" t="n">
        <f aca="false">IFERROR(INDEX('Bölgesel Kurallar'!$D$5:$D$10,MATCH(C53,'Bölgesel Kurallar'!$A$5:$A$10,0)),"")</f>
        <v>12</v>
      </c>
      <c r="F53" s="13" t="str">
        <f aca="false">IFERROR(INDEX('Bölgesel Kurallar'!$G$5:$G$10,MATCH(C53,'Bölgesel Kurallar'!$A$5:$A$10,0)),"")</f>
        <v>Evet</v>
      </c>
      <c r="G53" s="5" t="str">
        <f aca="false">IF(B53="İstanbul","Hedef'te vergi indirimi yok; Öncelikli (c) ve (j) İstanbul hariç; madencilik desteklenmez","—")</f>
        <v>—</v>
      </c>
      <c r="H53" s="13" t="s">
        <v>1006</v>
      </c>
      <c r="I53" s="5" t="s">
        <v>164</v>
      </c>
      <c r="J53" s="5" t="s">
        <v>164</v>
      </c>
      <c r="K53" s="5" t="s">
        <v>1353</v>
      </c>
      <c r="L53" s="5" t="s">
        <v>164</v>
      </c>
      <c r="M53" s="5" t="s">
        <v>1128</v>
      </c>
      <c r="N53" s="5" t="s">
        <v>1354</v>
      </c>
      <c r="O53" s="5" t="s">
        <v>1355</v>
      </c>
      <c r="P53" s="5" t="s">
        <v>164</v>
      </c>
      <c r="Q53" s="22" t="s">
        <v>1131</v>
      </c>
      <c r="R53" s="5" t="s">
        <v>164</v>
      </c>
      <c r="S53" s="23" t="s">
        <v>1042</v>
      </c>
    </row>
    <row r="54" customFormat="false" ht="28.35" hidden="false" customHeight="false" outlineLevel="0" collapsed="false">
      <c r="A54" s="21" t="n">
        <v>50</v>
      </c>
      <c r="B54" s="4" t="s">
        <v>1356</v>
      </c>
      <c r="C54" s="19" t="n">
        <v>3</v>
      </c>
      <c r="D54" s="20" t="n">
        <f aca="false">IF(C54&lt;=2,'Parasal Eşikler 2026'!$G$7,'Parasal Eşikler 2026'!$G$8)</f>
        <v>7500000</v>
      </c>
      <c r="E54" s="13" t="n">
        <f aca="false">IFERROR(INDEX('Bölgesel Kurallar'!$D$5:$D$10,MATCH(C54,'Bölgesel Kurallar'!$A$5:$A$10,0)),"")</f>
        <v>2</v>
      </c>
      <c r="F54" s="13" t="str">
        <f aca="false">IFERROR(INDEX('Bölgesel Kurallar'!$G$5:$G$10,MATCH(C54,'Bölgesel Kurallar'!$A$5:$A$10,0)),"")</f>
        <v>Hayır</v>
      </c>
      <c r="G54" s="5" t="str">
        <f aca="false">IF(B54="İstanbul","Hedef'te vergi indirimi yok; Öncelikli (c) ve (j) İstanbul hariç; madencilik desteklenmez","—")</f>
        <v>—</v>
      </c>
      <c r="H54" s="13" t="s">
        <v>164</v>
      </c>
      <c r="I54" s="5" t="s">
        <v>164</v>
      </c>
      <c r="J54" s="5" t="s">
        <v>1357</v>
      </c>
      <c r="K54" s="5" t="s">
        <v>1358</v>
      </c>
      <c r="L54" s="5" t="s">
        <v>1359</v>
      </c>
      <c r="M54" s="5" t="s">
        <v>1297</v>
      </c>
      <c r="N54" s="5" t="s">
        <v>1360</v>
      </c>
      <c r="O54" s="5" t="s">
        <v>1361</v>
      </c>
      <c r="P54" s="5" t="s">
        <v>1362</v>
      </c>
      <c r="Q54" s="22" t="s">
        <v>1301</v>
      </c>
      <c r="R54" s="5" t="s">
        <v>164</v>
      </c>
      <c r="S54" s="23" t="s">
        <v>1042</v>
      </c>
    </row>
    <row r="55" customFormat="false" ht="28.35" hidden="false" customHeight="false" outlineLevel="0" collapsed="false">
      <c r="A55" s="21" t="n">
        <v>51</v>
      </c>
      <c r="B55" s="4" t="s">
        <v>1363</v>
      </c>
      <c r="C55" s="19" t="n">
        <v>5</v>
      </c>
      <c r="D55" s="20" t="n">
        <f aca="false">IF(C55&lt;=2,'Parasal Eşikler 2026'!$G$7,'Parasal Eşikler 2026'!$G$8)</f>
        <v>7500000</v>
      </c>
      <c r="E55" s="13" t="n">
        <f aca="false">IFERROR(INDEX('Bölgesel Kurallar'!$D$5:$D$10,MATCH(C55,'Bölgesel Kurallar'!$A$5:$A$10,0)),"")</f>
        <v>8</v>
      </c>
      <c r="F55" s="13" t="str">
        <f aca="false">IFERROR(INDEX('Bölgesel Kurallar'!$G$5:$G$10,MATCH(C55,'Bölgesel Kurallar'!$A$5:$A$10,0)),"")</f>
        <v>Evet</v>
      </c>
      <c r="G55" s="5" t="str">
        <f aca="false">IF(B55="İstanbul","Hedef'te vergi indirimi yok; Öncelikli (c) ve (j) İstanbul hariç; madencilik desteklenmez","—")</f>
        <v>—</v>
      </c>
      <c r="H55" s="13" t="s">
        <v>164</v>
      </c>
      <c r="I55" s="5" t="s">
        <v>164</v>
      </c>
      <c r="J55" s="5" t="s">
        <v>1364</v>
      </c>
      <c r="K55" s="5" t="s">
        <v>1365</v>
      </c>
      <c r="L55" s="5" t="s">
        <v>164</v>
      </c>
      <c r="M55" s="5" t="s">
        <v>1297</v>
      </c>
      <c r="N55" s="5" t="s">
        <v>1366</v>
      </c>
      <c r="O55" s="5" t="s">
        <v>1367</v>
      </c>
      <c r="P55" s="5" t="s">
        <v>1368</v>
      </c>
      <c r="Q55" s="22" t="s">
        <v>1301</v>
      </c>
      <c r="R55" s="5" t="s">
        <v>164</v>
      </c>
      <c r="S55" s="23" t="s">
        <v>1042</v>
      </c>
    </row>
    <row r="56" customFormat="false" ht="28.35" hidden="false" customHeight="false" outlineLevel="0" collapsed="false">
      <c r="A56" s="21" t="n">
        <v>52</v>
      </c>
      <c r="B56" s="4" t="s">
        <v>1369</v>
      </c>
      <c r="C56" s="19" t="n">
        <v>5</v>
      </c>
      <c r="D56" s="20" t="n">
        <f aca="false">IF(C56&lt;=2,'Parasal Eşikler 2026'!$G$7,'Parasal Eşikler 2026'!$G$8)</f>
        <v>7500000</v>
      </c>
      <c r="E56" s="13" t="n">
        <f aca="false">IFERROR(INDEX('Bölgesel Kurallar'!$D$5:$D$10,MATCH(C56,'Bölgesel Kurallar'!$A$5:$A$10,0)),"")</f>
        <v>8</v>
      </c>
      <c r="F56" s="13" t="str">
        <f aca="false">IFERROR(INDEX('Bölgesel Kurallar'!$G$5:$G$10,MATCH(C56,'Bölgesel Kurallar'!$A$5:$A$10,0)),"")</f>
        <v>Evet</v>
      </c>
      <c r="G56" s="5" t="str">
        <f aca="false">IF(B56="İstanbul","Hedef'te vergi indirimi yok; Öncelikli (c) ve (j) İstanbul hariç; madencilik desteklenmez","—")</f>
        <v>—</v>
      </c>
      <c r="H56" s="13" t="s">
        <v>164</v>
      </c>
      <c r="I56" s="5" t="s">
        <v>164</v>
      </c>
      <c r="J56" s="5" t="s">
        <v>1370</v>
      </c>
      <c r="K56" s="5" t="s">
        <v>1371</v>
      </c>
      <c r="L56" s="5" t="s">
        <v>164</v>
      </c>
      <c r="M56" s="5" t="s">
        <v>1094</v>
      </c>
      <c r="N56" s="5" t="s">
        <v>1372</v>
      </c>
      <c r="O56" s="5" t="s">
        <v>1373</v>
      </c>
      <c r="P56" s="5" t="s">
        <v>164</v>
      </c>
      <c r="Q56" s="22" t="s">
        <v>1097</v>
      </c>
      <c r="R56" s="5" t="s">
        <v>164</v>
      </c>
      <c r="S56" s="23" t="s">
        <v>1042</v>
      </c>
    </row>
    <row r="57" customFormat="false" ht="28.35" hidden="false" customHeight="false" outlineLevel="0" collapsed="false">
      <c r="A57" s="21" t="n">
        <v>53</v>
      </c>
      <c r="B57" s="4" t="s">
        <v>1374</v>
      </c>
      <c r="C57" s="19" t="n">
        <v>3</v>
      </c>
      <c r="D57" s="20" t="n">
        <f aca="false">IF(C57&lt;=2,'Parasal Eşikler 2026'!$G$7,'Parasal Eşikler 2026'!$G$8)</f>
        <v>7500000</v>
      </c>
      <c r="E57" s="13" t="n">
        <f aca="false">IFERROR(INDEX('Bölgesel Kurallar'!$D$5:$D$10,MATCH(C57,'Bölgesel Kurallar'!$A$5:$A$10,0)),"")</f>
        <v>2</v>
      </c>
      <c r="F57" s="13" t="str">
        <f aca="false">IFERROR(INDEX('Bölgesel Kurallar'!$G$5:$G$10,MATCH(C57,'Bölgesel Kurallar'!$A$5:$A$10,0)),"")</f>
        <v>Hayır</v>
      </c>
      <c r="G57" s="5" t="str">
        <f aca="false">IF(B57="İstanbul","Hedef'te vergi indirimi yok; Öncelikli (c) ve (j) İstanbul hariç; madencilik desteklenmez","—")</f>
        <v>—</v>
      </c>
      <c r="H57" s="13" t="s">
        <v>164</v>
      </c>
      <c r="I57" s="5" t="s">
        <v>164</v>
      </c>
      <c r="J57" s="5" t="s">
        <v>1375</v>
      </c>
      <c r="K57" s="5" t="s">
        <v>1376</v>
      </c>
      <c r="L57" s="5" t="s">
        <v>1377</v>
      </c>
      <c r="M57" s="5" t="s">
        <v>1094</v>
      </c>
      <c r="N57" s="5" t="s">
        <v>1378</v>
      </c>
      <c r="O57" s="5" t="s">
        <v>1379</v>
      </c>
      <c r="P57" s="5" t="s">
        <v>164</v>
      </c>
      <c r="Q57" s="22" t="s">
        <v>1097</v>
      </c>
      <c r="R57" s="5" t="s">
        <v>164</v>
      </c>
      <c r="S57" s="23" t="s">
        <v>1042</v>
      </c>
    </row>
    <row r="58" customFormat="false" ht="35.05" hidden="false" customHeight="false" outlineLevel="0" collapsed="false">
      <c r="A58" s="21" t="n">
        <v>54</v>
      </c>
      <c r="B58" s="4" t="s">
        <v>1380</v>
      </c>
      <c r="C58" s="19" t="n">
        <v>2</v>
      </c>
      <c r="D58" s="20" t="n">
        <f aca="false">IF(C58&lt;=2,'Parasal Eşikler 2026'!$G$7,'Parasal Eşikler 2026'!$G$8)</f>
        <v>15100000</v>
      </c>
      <c r="E58" s="13" t="n">
        <f aca="false">IFERROR(INDEX('Bölgesel Kurallar'!$D$5:$D$10,MATCH(C58,'Bölgesel Kurallar'!$A$5:$A$10,0)),"")</f>
        <v>1</v>
      </c>
      <c r="F58" s="13" t="str">
        <f aca="false">IFERROR(INDEX('Bölgesel Kurallar'!$G$5:$G$10,MATCH(C58,'Bölgesel Kurallar'!$A$5:$A$10,0)),"")</f>
        <v>Hayır</v>
      </c>
      <c r="G58" s="5" t="str">
        <f aca="false">IF(B58="İstanbul","Hedef'te vergi indirimi yok; Öncelikli (c) ve (j) İstanbul hariç; madencilik desteklenmez","—")</f>
        <v>—</v>
      </c>
      <c r="H58" s="13" t="s">
        <v>164</v>
      </c>
      <c r="I58" s="5" t="s">
        <v>164</v>
      </c>
      <c r="J58" s="5" t="s">
        <v>1381</v>
      </c>
      <c r="K58" s="5" t="s">
        <v>1382</v>
      </c>
      <c r="L58" s="5" t="s">
        <v>1383</v>
      </c>
      <c r="M58" s="5" t="s">
        <v>1135</v>
      </c>
      <c r="N58" s="5" t="s">
        <v>1384</v>
      </c>
      <c r="O58" s="5" t="s">
        <v>164</v>
      </c>
      <c r="P58" s="5" t="s">
        <v>164</v>
      </c>
      <c r="Q58" s="22" t="s">
        <v>1137</v>
      </c>
      <c r="R58" s="5" t="s">
        <v>164</v>
      </c>
      <c r="S58" s="23" t="s">
        <v>1042</v>
      </c>
    </row>
    <row r="59" customFormat="false" ht="28.35" hidden="false" customHeight="false" outlineLevel="0" collapsed="false">
      <c r="A59" s="21" t="n">
        <v>55</v>
      </c>
      <c r="B59" s="4" t="s">
        <v>1385</v>
      </c>
      <c r="C59" s="19" t="n">
        <v>3</v>
      </c>
      <c r="D59" s="20" t="n">
        <f aca="false">IF(C59&lt;=2,'Parasal Eşikler 2026'!$G$7,'Parasal Eşikler 2026'!$G$8)</f>
        <v>7500000</v>
      </c>
      <c r="E59" s="13" t="n">
        <f aca="false">IFERROR(INDEX('Bölgesel Kurallar'!$D$5:$D$10,MATCH(C59,'Bölgesel Kurallar'!$A$5:$A$10,0)),"")</f>
        <v>2</v>
      </c>
      <c r="F59" s="13" t="str">
        <f aca="false">IFERROR(INDEX('Bölgesel Kurallar'!$G$5:$G$10,MATCH(C59,'Bölgesel Kurallar'!$A$5:$A$10,0)),"")</f>
        <v>Hayır</v>
      </c>
      <c r="G59" s="5" t="str">
        <f aca="false">IF(B59="İstanbul","Hedef'te vergi indirimi yok; Öncelikli (c) ve (j) İstanbul hariç; madencilik desteklenmez","—")</f>
        <v>—</v>
      </c>
      <c r="H59" s="13" t="s">
        <v>164</v>
      </c>
      <c r="I59" s="5" t="s">
        <v>164</v>
      </c>
      <c r="J59" s="5" t="s">
        <v>1386</v>
      </c>
      <c r="K59" s="5" t="s">
        <v>1387</v>
      </c>
      <c r="L59" s="5" t="s">
        <v>164</v>
      </c>
      <c r="M59" s="5" t="s">
        <v>1069</v>
      </c>
      <c r="N59" s="5" t="s">
        <v>1388</v>
      </c>
      <c r="O59" s="5" t="s">
        <v>1389</v>
      </c>
      <c r="P59" s="5" t="s">
        <v>1390</v>
      </c>
      <c r="Q59" s="22" t="s">
        <v>1073</v>
      </c>
      <c r="R59" s="5" t="s">
        <v>164</v>
      </c>
      <c r="S59" s="23" t="s">
        <v>1042</v>
      </c>
    </row>
    <row r="60" customFormat="false" ht="35.05" hidden="false" customHeight="false" outlineLevel="0" collapsed="false">
      <c r="A60" s="21" t="n">
        <v>56</v>
      </c>
      <c r="B60" s="4" t="s">
        <v>1391</v>
      </c>
      <c r="C60" s="19" t="n">
        <v>6</v>
      </c>
      <c r="D60" s="20" t="n">
        <f aca="false">IF(C60&lt;=2,'Parasal Eşikler 2026'!$G$7,'Parasal Eşikler 2026'!$G$8)</f>
        <v>7500000</v>
      </c>
      <c r="E60" s="13" t="n">
        <f aca="false">IFERROR(INDEX('Bölgesel Kurallar'!$D$5:$D$10,MATCH(C60,'Bölgesel Kurallar'!$A$5:$A$10,0)),"")</f>
        <v>12</v>
      </c>
      <c r="F60" s="13" t="str">
        <f aca="false">IFERROR(INDEX('Bölgesel Kurallar'!$G$5:$G$10,MATCH(C60,'Bölgesel Kurallar'!$A$5:$A$10,0)),"")</f>
        <v>Evet</v>
      </c>
      <c r="G60" s="5" t="str">
        <f aca="false">IF(B60="İstanbul","Hedef'te vergi indirimi yok; Öncelikli (c) ve (j) İstanbul hariç; madencilik desteklenmez","—")</f>
        <v>—</v>
      </c>
      <c r="H60" s="13" t="s">
        <v>1006</v>
      </c>
      <c r="I60" s="5" t="s">
        <v>164</v>
      </c>
      <c r="J60" s="5" t="s">
        <v>164</v>
      </c>
      <c r="K60" s="5" t="s">
        <v>1392</v>
      </c>
      <c r="L60" s="5" t="s">
        <v>164</v>
      </c>
      <c r="M60" s="5" t="s">
        <v>1342</v>
      </c>
      <c r="N60" s="5" t="s">
        <v>1393</v>
      </c>
      <c r="O60" s="5" t="s">
        <v>164</v>
      </c>
      <c r="P60" s="5" t="s">
        <v>164</v>
      </c>
      <c r="Q60" s="22" t="s">
        <v>1345</v>
      </c>
      <c r="R60" s="5" t="s">
        <v>164</v>
      </c>
      <c r="S60" s="23" t="s">
        <v>1042</v>
      </c>
    </row>
    <row r="61" customFormat="false" ht="28.35" hidden="false" customHeight="false" outlineLevel="0" collapsed="false">
      <c r="A61" s="21" t="n">
        <v>57</v>
      </c>
      <c r="B61" s="4" t="s">
        <v>1394</v>
      </c>
      <c r="C61" s="19" t="n">
        <v>5</v>
      </c>
      <c r="D61" s="20" t="n">
        <f aca="false">IF(C61&lt;=2,'Parasal Eşikler 2026'!$G$7,'Parasal Eşikler 2026'!$G$8)</f>
        <v>7500000</v>
      </c>
      <c r="E61" s="13" t="n">
        <f aca="false">IFERROR(INDEX('Bölgesel Kurallar'!$D$5:$D$10,MATCH(C61,'Bölgesel Kurallar'!$A$5:$A$10,0)),"")</f>
        <v>8</v>
      </c>
      <c r="F61" s="13" t="str">
        <f aca="false">IFERROR(INDEX('Bölgesel Kurallar'!$G$5:$G$10,MATCH(C61,'Bölgesel Kurallar'!$A$5:$A$10,0)),"")</f>
        <v>Evet</v>
      </c>
      <c r="G61" s="5" t="str">
        <f aca="false">IF(B61="İstanbul","Hedef'te vergi indirimi yok; Öncelikli (c) ve (j) İstanbul hariç; madencilik desteklenmez","—")</f>
        <v>—</v>
      </c>
      <c r="H61" s="13" t="s">
        <v>164</v>
      </c>
      <c r="I61" s="5" t="s">
        <v>164</v>
      </c>
      <c r="J61" s="5" t="s">
        <v>1395</v>
      </c>
      <c r="K61" s="5" t="s">
        <v>1396</v>
      </c>
      <c r="L61" s="5" t="s">
        <v>164</v>
      </c>
      <c r="M61" s="5" t="s">
        <v>1158</v>
      </c>
      <c r="N61" s="5" t="s">
        <v>1397</v>
      </c>
      <c r="O61" s="5" t="s">
        <v>1398</v>
      </c>
      <c r="P61" s="5" t="s">
        <v>1399</v>
      </c>
      <c r="Q61" s="22" t="s">
        <v>1162</v>
      </c>
      <c r="R61" s="5" t="s">
        <v>164</v>
      </c>
      <c r="S61" s="23" t="s">
        <v>1042</v>
      </c>
    </row>
    <row r="62" customFormat="false" ht="35.05" hidden="false" customHeight="false" outlineLevel="0" collapsed="false">
      <c r="A62" s="21" t="n">
        <v>58</v>
      </c>
      <c r="B62" s="4" t="s">
        <v>1400</v>
      </c>
      <c r="C62" s="19" t="n">
        <v>4</v>
      </c>
      <c r="D62" s="20" t="n">
        <f aca="false">IF(C62&lt;=2,'Parasal Eşikler 2026'!$G$7,'Parasal Eşikler 2026'!$G$8)</f>
        <v>7500000</v>
      </c>
      <c r="E62" s="13" t="n">
        <f aca="false">IFERROR(INDEX('Bölgesel Kurallar'!$D$5:$D$10,MATCH(C62,'Bölgesel Kurallar'!$A$5:$A$10,0)),"")</f>
        <v>4</v>
      </c>
      <c r="F62" s="13" t="str">
        <f aca="false">IFERROR(INDEX('Bölgesel Kurallar'!$G$5:$G$10,MATCH(C62,'Bölgesel Kurallar'!$A$5:$A$10,0)),"")</f>
        <v>Evet</v>
      </c>
      <c r="G62" s="5" t="str">
        <f aca="false">IF(B62="İstanbul","Hedef'te vergi indirimi yok; Öncelikli (c) ve (j) İstanbul hariç; madencilik desteklenmez","—")</f>
        <v>—</v>
      </c>
      <c r="H62" s="13" t="s">
        <v>164</v>
      </c>
      <c r="I62" s="5" t="s">
        <v>1401</v>
      </c>
      <c r="J62" s="5" t="s">
        <v>1402</v>
      </c>
      <c r="K62" s="5" t="s">
        <v>1403</v>
      </c>
      <c r="L62" s="5" t="s">
        <v>1201</v>
      </c>
      <c r="M62" s="5" t="s">
        <v>1284</v>
      </c>
      <c r="N62" s="5" t="s">
        <v>1404</v>
      </c>
      <c r="O62" s="5" t="s">
        <v>1405</v>
      </c>
      <c r="P62" s="5" t="s">
        <v>164</v>
      </c>
      <c r="Q62" s="22" t="s">
        <v>1287</v>
      </c>
      <c r="R62" s="5" t="s">
        <v>164</v>
      </c>
      <c r="S62" s="23" t="s">
        <v>1042</v>
      </c>
    </row>
    <row r="63" customFormat="false" ht="28.35" hidden="false" customHeight="false" outlineLevel="0" collapsed="false">
      <c r="A63" s="21" t="n">
        <v>59</v>
      </c>
      <c r="B63" s="4" t="s">
        <v>1406</v>
      </c>
      <c r="C63" s="19" t="n">
        <v>2</v>
      </c>
      <c r="D63" s="20" t="n">
        <f aca="false">IF(C63&lt;=2,'Parasal Eşikler 2026'!$G$7,'Parasal Eşikler 2026'!$G$8)</f>
        <v>15100000</v>
      </c>
      <c r="E63" s="13" t="n">
        <f aca="false">IFERROR(INDEX('Bölgesel Kurallar'!$D$5:$D$10,MATCH(C63,'Bölgesel Kurallar'!$A$5:$A$10,0)),"")</f>
        <v>1</v>
      </c>
      <c r="F63" s="13" t="str">
        <f aca="false">IFERROR(INDEX('Bölgesel Kurallar'!$G$5:$G$10,MATCH(C63,'Bölgesel Kurallar'!$A$5:$A$10,0)),"")</f>
        <v>Hayır</v>
      </c>
      <c r="G63" s="5" t="str">
        <f aca="false">IF(B63="İstanbul","Hedef'te vergi indirimi yok; Öncelikli (c) ve (j) İstanbul hariç; madencilik desteklenmez","—")</f>
        <v>—</v>
      </c>
      <c r="H63" s="13" t="s">
        <v>164</v>
      </c>
      <c r="I63" s="5" t="s">
        <v>164</v>
      </c>
      <c r="J63" s="5" t="s">
        <v>1407</v>
      </c>
      <c r="K63" s="5" t="s">
        <v>1408</v>
      </c>
      <c r="L63" s="5" t="s">
        <v>164</v>
      </c>
      <c r="M63" s="5" t="s">
        <v>1188</v>
      </c>
      <c r="N63" s="5" t="s">
        <v>1409</v>
      </c>
      <c r="O63" s="5" t="s">
        <v>164</v>
      </c>
      <c r="P63" s="5" t="s">
        <v>164</v>
      </c>
      <c r="Q63" s="22" t="s">
        <v>1190</v>
      </c>
      <c r="R63" s="5" t="s">
        <v>164</v>
      </c>
      <c r="S63" s="23" t="s">
        <v>1042</v>
      </c>
    </row>
    <row r="64" customFormat="false" ht="35.05" hidden="false" customHeight="false" outlineLevel="0" collapsed="false">
      <c r="A64" s="21" t="n">
        <v>60</v>
      </c>
      <c r="B64" s="4" t="s">
        <v>1410</v>
      </c>
      <c r="C64" s="19" t="n">
        <v>5</v>
      </c>
      <c r="D64" s="20" t="n">
        <f aca="false">IF(C64&lt;=2,'Parasal Eşikler 2026'!$G$7,'Parasal Eşikler 2026'!$G$8)</f>
        <v>7500000</v>
      </c>
      <c r="E64" s="13" t="n">
        <f aca="false">IFERROR(INDEX('Bölgesel Kurallar'!$D$5:$D$10,MATCH(C64,'Bölgesel Kurallar'!$A$5:$A$10,0)),"")</f>
        <v>8</v>
      </c>
      <c r="F64" s="13" t="str">
        <f aca="false">IFERROR(INDEX('Bölgesel Kurallar'!$G$5:$G$10,MATCH(C64,'Bölgesel Kurallar'!$A$5:$A$10,0)),"")</f>
        <v>Evet</v>
      </c>
      <c r="G64" s="5" t="str">
        <f aca="false">IF(B64="İstanbul","Hedef'te vergi indirimi yok; Öncelikli (c) ve (j) İstanbul hariç; madencilik desteklenmez","—")</f>
        <v>—</v>
      </c>
      <c r="H64" s="13" t="s">
        <v>164</v>
      </c>
      <c r="I64" s="5" t="s">
        <v>164</v>
      </c>
      <c r="J64" s="5" t="s">
        <v>1411</v>
      </c>
      <c r="K64" s="5" t="s">
        <v>1412</v>
      </c>
      <c r="L64" s="5" t="s">
        <v>164</v>
      </c>
      <c r="M64" s="5" t="s">
        <v>1069</v>
      </c>
      <c r="N64" s="5" t="s">
        <v>1413</v>
      </c>
      <c r="O64" s="5" t="s">
        <v>1414</v>
      </c>
      <c r="P64" s="5" t="s">
        <v>1415</v>
      </c>
      <c r="Q64" s="22" t="s">
        <v>1073</v>
      </c>
      <c r="R64" s="5" t="s">
        <v>164</v>
      </c>
      <c r="S64" s="23" t="s">
        <v>1042</v>
      </c>
    </row>
    <row r="65" customFormat="false" ht="35.05" hidden="false" customHeight="false" outlineLevel="0" collapsed="false">
      <c r="A65" s="21" t="n">
        <v>61</v>
      </c>
      <c r="B65" s="4" t="s">
        <v>1416</v>
      </c>
      <c r="C65" s="19" t="n">
        <v>3</v>
      </c>
      <c r="D65" s="20" t="n">
        <f aca="false">IF(C65&lt;=2,'Parasal Eşikler 2026'!$G$7,'Parasal Eşikler 2026'!$G$8)</f>
        <v>7500000</v>
      </c>
      <c r="E65" s="13" t="n">
        <f aca="false">IFERROR(INDEX('Bölgesel Kurallar'!$D$5:$D$10,MATCH(C65,'Bölgesel Kurallar'!$A$5:$A$10,0)),"")</f>
        <v>2</v>
      </c>
      <c r="F65" s="13" t="str">
        <f aca="false">IFERROR(INDEX('Bölgesel Kurallar'!$G$5:$G$10,MATCH(C65,'Bölgesel Kurallar'!$A$5:$A$10,0)),"")</f>
        <v>Hayır</v>
      </c>
      <c r="G65" s="5" t="str">
        <f aca="false">IF(B65="İstanbul","Hedef'te vergi indirimi yok; Öncelikli (c) ve (j) İstanbul hariç; madencilik desteklenmez","—")</f>
        <v>—</v>
      </c>
      <c r="H65" s="13" t="s">
        <v>164</v>
      </c>
      <c r="I65" s="5" t="s">
        <v>164</v>
      </c>
      <c r="J65" s="5" t="s">
        <v>1417</v>
      </c>
      <c r="K65" s="5" t="s">
        <v>1418</v>
      </c>
      <c r="L65" s="5" t="s">
        <v>164</v>
      </c>
      <c r="M65" s="5" t="s">
        <v>1094</v>
      </c>
      <c r="N65" s="5" t="s">
        <v>1419</v>
      </c>
      <c r="O65" s="5" t="s">
        <v>1420</v>
      </c>
      <c r="P65" s="5" t="s">
        <v>1421</v>
      </c>
      <c r="Q65" s="22" t="s">
        <v>1097</v>
      </c>
      <c r="R65" s="5" t="s">
        <v>164</v>
      </c>
      <c r="S65" s="23" t="s">
        <v>1042</v>
      </c>
    </row>
    <row r="66" customFormat="false" ht="28.35" hidden="false" customHeight="false" outlineLevel="0" collapsed="false">
      <c r="A66" s="21" t="n">
        <v>62</v>
      </c>
      <c r="B66" s="4" t="s">
        <v>1422</v>
      </c>
      <c r="C66" s="19" t="n">
        <v>5</v>
      </c>
      <c r="D66" s="20" t="n">
        <f aca="false">IF(C66&lt;=2,'Parasal Eşikler 2026'!$G$7,'Parasal Eşikler 2026'!$G$8)</f>
        <v>7500000</v>
      </c>
      <c r="E66" s="13" t="n">
        <f aca="false">IFERROR(INDEX('Bölgesel Kurallar'!$D$5:$D$10,MATCH(C66,'Bölgesel Kurallar'!$A$5:$A$10,0)),"")</f>
        <v>8</v>
      </c>
      <c r="F66" s="13" t="str">
        <f aca="false">IFERROR(INDEX('Bölgesel Kurallar'!$G$5:$G$10,MATCH(C66,'Bölgesel Kurallar'!$A$5:$A$10,0)),"")</f>
        <v>Evet</v>
      </c>
      <c r="G66" s="5" t="str">
        <f aca="false">IF(B66="İstanbul","Hedef'te vergi indirimi yok; Öncelikli (c) ve (j) İstanbul hariç; madencilik desteklenmez","—")</f>
        <v>—</v>
      </c>
      <c r="H66" s="13" t="s">
        <v>1006</v>
      </c>
      <c r="I66" s="5" t="s">
        <v>164</v>
      </c>
      <c r="J66" s="5" t="s">
        <v>164</v>
      </c>
      <c r="K66" s="5" t="s">
        <v>1423</v>
      </c>
      <c r="L66" s="5" t="s">
        <v>164</v>
      </c>
      <c r="M66" s="5" t="s">
        <v>1121</v>
      </c>
      <c r="N66" s="5" t="s">
        <v>1424</v>
      </c>
      <c r="O66" s="5" t="s">
        <v>1425</v>
      </c>
      <c r="P66" s="5" t="s">
        <v>1426</v>
      </c>
      <c r="Q66" s="22" t="s">
        <v>1125</v>
      </c>
      <c r="R66" s="5" t="s">
        <v>164</v>
      </c>
      <c r="S66" s="23" t="s">
        <v>1042</v>
      </c>
    </row>
    <row r="67" customFormat="false" ht="28.35" hidden="false" customHeight="false" outlineLevel="0" collapsed="false">
      <c r="A67" s="21" t="n">
        <v>63</v>
      </c>
      <c r="B67" s="4" t="s">
        <v>1427</v>
      </c>
      <c r="C67" s="19" t="n">
        <v>6</v>
      </c>
      <c r="D67" s="20" t="n">
        <f aca="false">IF(C67&lt;=2,'Parasal Eşikler 2026'!$G$7,'Parasal Eşikler 2026'!$G$8)</f>
        <v>7500000</v>
      </c>
      <c r="E67" s="13" t="n">
        <f aca="false">IFERROR(INDEX('Bölgesel Kurallar'!$D$5:$D$10,MATCH(C67,'Bölgesel Kurallar'!$A$5:$A$10,0)),"")</f>
        <v>12</v>
      </c>
      <c r="F67" s="13" t="str">
        <f aca="false">IFERROR(INDEX('Bölgesel Kurallar'!$G$5:$G$10,MATCH(C67,'Bölgesel Kurallar'!$A$5:$A$10,0)),"")</f>
        <v>Evet</v>
      </c>
      <c r="G67" s="5" t="str">
        <f aca="false">IF(B67="İstanbul","Hedef'te vergi indirimi yok; Öncelikli (c) ve (j) İstanbul hariç; madencilik desteklenmez","—")</f>
        <v>—</v>
      </c>
      <c r="H67" s="13" t="s">
        <v>1006</v>
      </c>
      <c r="I67" s="5" t="s">
        <v>164</v>
      </c>
      <c r="J67" s="5" t="s">
        <v>164</v>
      </c>
      <c r="K67" s="5" t="s">
        <v>1428</v>
      </c>
      <c r="L67" s="5" t="s">
        <v>1429</v>
      </c>
      <c r="M67" s="5" t="s">
        <v>1179</v>
      </c>
      <c r="N67" s="5" t="s">
        <v>1430</v>
      </c>
      <c r="O67" s="5" t="s">
        <v>1431</v>
      </c>
      <c r="P67" s="5" t="s">
        <v>1432</v>
      </c>
      <c r="Q67" s="22" t="s">
        <v>1183</v>
      </c>
      <c r="R67" s="5" t="s">
        <v>164</v>
      </c>
      <c r="S67" s="23" t="s">
        <v>1042</v>
      </c>
    </row>
    <row r="68" customFormat="false" ht="28.35" hidden="false" customHeight="false" outlineLevel="0" collapsed="false">
      <c r="A68" s="21" t="n">
        <v>64</v>
      </c>
      <c r="B68" s="4" t="s">
        <v>1433</v>
      </c>
      <c r="C68" s="19" t="n">
        <v>3</v>
      </c>
      <c r="D68" s="20" t="n">
        <f aca="false">IF(C68&lt;=2,'Parasal Eşikler 2026'!$G$7,'Parasal Eşikler 2026'!$G$8)</f>
        <v>7500000</v>
      </c>
      <c r="E68" s="13" t="n">
        <f aca="false">IFERROR(INDEX('Bölgesel Kurallar'!$D$5:$D$10,MATCH(C68,'Bölgesel Kurallar'!$A$5:$A$10,0)),"")</f>
        <v>2</v>
      </c>
      <c r="F68" s="13" t="str">
        <f aca="false">IFERROR(INDEX('Bölgesel Kurallar'!$G$5:$G$10,MATCH(C68,'Bölgesel Kurallar'!$A$5:$A$10,0)),"")</f>
        <v>Hayır</v>
      </c>
      <c r="G68" s="5" t="str">
        <f aca="false">IF(B68="İstanbul","Hedef'te vergi indirimi yok; Öncelikli (c) ve (j) İstanbul hariç; madencilik desteklenmez","—")</f>
        <v>—</v>
      </c>
      <c r="H68" s="13" t="s">
        <v>164</v>
      </c>
      <c r="I68" s="5" t="s">
        <v>164</v>
      </c>
      <c r="J68" s="5" t="s">
        <v>1434</v>
      </c>
      <c r="K68" s="5" t="s">
        <v>1435</v>
      </c>
      <c r="L68" s="5" t="s">
        <v>164</v>
      </c>
      <c r="M68" s="5" t="s">
        <v>1054</v>
      </c>
      <c r="N68" s="5" t="s">
        <v>1436</v>
      </c>
      <c r="O68" s="5" t="s">
        <v>164</v>
      </c>
      <c r="P68" s="5" t="s">
        <v>1437</v>
      </c>
      <c r="Q68" s="22" t="s">
        <v>1057</v>
      </c>
      <c r="R68" s="5" t="s">
        <v>164</v>
      </c>
      <c r="S68" s="23" t="s">
        <v>1042</v>
      </c>
    </row>
    <row r="69" customFormat="false" ht="35.05" hidden="false" customHeight="false" outlineLevel="0" collapsed="false">
      <c r="A69" s="21" t="n">
        <v>65</v>
      </c>
      <c r="B69" s="4" t="s">
        <v>1438</v>
      </c>
      <c r="C69" s="19" t="n">
        <v>6</v>
      </c>
      <c r="D69" s="20" t="n">
        <f aca="false">IF(C69&lt;=2,'Parasal Eşikler 2026'!$G$7,'Parasal Eşikler 2026'!$G$8)</f>
        <v>7500000</v>
      </c>
      <c r="E69" s="13" t="n">
        <f aca="false">IFERROR(INDEX('Bölgesel Kurallar'!$D$5:$D$10,MATCH(C69,'Bölgesel Kurallar'!$A$5:$A$10,0)),"")</f>
        <v>12</v>
      </c>
      <c r="F69" s="13" t="str">
        <f aca="false">IFERROR(INDEX('Bölgesel Kurallar'!$G$5:$G$10,MATCH(C69,'Bölgesel Kurallar'!$A$5:$A$10,0)),"")</f>
        <v>Evet</v>
      </c>
      <c r="G69" s="5" t="str">
        <f aca="false">IF(B69="İstanbul","Hedef'te vergi indirimi yok; Öncelikli (c) ve (j) İstanbul hariç; madencilik desteklenmez","—")</f>
        <v>—</v>
      </c>
      <c r="H69" s="13" t="s">
        <v>1006</v>
      </c>
      <c r="I69" s="5" t="s">
        <v>164</v>
      </c>
      <c r="J69" s="5" t="s">
        <v>164</v>
      </c>
      <c r="K69" s="5" t="s">
        <v>1439</v>
      </c>
      <c r="L69" s="5" t="s">
        <v>1068</v>
      </c>
      <c r="M69" s="5" t="s">
        <v>1128</v>
      </c>
      <c r="N69" s="5" t="s">
        <v>1440</v>
      </c>
      <c r="O69" s="5" t="s">
        <v>1441</v>
      </c>
      <c r="P69" s="5" t="s">
        <v>1442</v>
      </c>
      <c r="Q69" s="22" t="s">
        <v>1131</v>
      </c>
      <c r="R69" s="5" t="s">
        <v>164</v>
      </c>
      <c r="S69" s="23" t="s">
        <v>1042</v>
      </c>
    </row>
    <row r="70" customFormat="false" ht="28.35" hidden="false" customHeight="false" outlineLevel="0" collapsed="false">
      <c r="A70" s="21" t="n">
        <v>66</v>
      </c>
      <c r="B70" s="4" t="s">
        <v>1443</v>
      </c>
      <c r="C70" s="19" t="n">
        <v>5</v>
      </c>
      <c r="D70" s="20" t="n">
        <f aca="false">IF(C70&lt;=2,'Parasal Eşikler 2026'!$G$7,'Parasal Eşikler 2026'!$G$8)</f>
        <v>7500000</v>
      </c>
      <c r="E70" s="13" t="n">
        <f aca="false">IFERROR(INDEX('Bölgesel Kurallar'!$D$5:$D$10,MATCH(C70,'Bölgesel Kurallar'!$A$5:$A$10,0)),"")</f>
        <v>8</v>
      </c>
      <c r="F70" s="13" t="str">
        <f aca="false">IFERROR(INDEX('Bölgesel Kurallar'!$G$5:$G$10,MATCH(C70,'Bölgesel Kurallar'!$A$5:$A$10,0)),"")</f>
        <v>Evet</v>
      </c>
      <c r="G70" s="5" t="str">
        <f aca="false">IF(B70="İstanbul","Hedef'te vergi indirimi yok; Öncelikli (c) ve (j) İstanbul hariç; madencilik desteklenmez","—")</f>
        <v>—</v>
      </c>
      <c r="H70" s="13" t="s">
        <v>164</v>
      </c>
      <c r="I70" s="5" t="s">
        <v>164</v>
      </c>
      <c r="J70" s="5" t="s">
        <v>1444</v>
      </c>
      <c r="K70" s="5" t="s">
        <v>1445</v>
      </c>
      <c r="L70" s="5" t="s">
        <v>1068</v>
      </c>
      <c r="M70" s="5" t="s">
        <v>1284</v>
      </c>
      <c r="N70" s="5" t="s">
        <v>1446</v>
      </c>
      <c r="O70" s="5" t="s">
        <v>164</v>
      </c>
      <c r="P70" s="5" t="s">
        <v>164</v>
      </c>
      <c r="Q70" s="22" t="s">
        <v>1287</v>
      </c>
      <c r="R70" s="5" t="s">
        <v>164</v>
      </c>
      <c r="S70" s="23" t="s">
        <v>1042</v>
      </c>
    </row>
    <row r="71" customFormat="false" ht="35.05" hidden="false" customHeight="false" outlineLevel="0" collapsed="false">
      <c r="A71" s="21" t="n">
        <v>67</v>
      </c>
      <c r="B71" s="4" t="s">
        <v>1447</v>
      </c>
      <c r="C71" s="19" t="n">
        <v>3</v>
      </c>
      <c r="D71" s="20" t="n">
        <f aca="false">IF(C71&lt;=2,'Parasal Eşikler 2026'!$G$7,'Parasal Eşikler 2026'!$G$8)</f>
        <v>7500000</v>
      </c>
      <c r="E71" s="13" t="n">
        <f aca="false">IFERROR(INDEX('Bölgesel Kurallar'!$D$5:$D$10,MATCH(C71,'Bölgesel Kurallar'!$A$5:$A$10,0)),"")</f>
        <v>2</v>
      </c>
      <c r="F71" s="13" t="str">
        <f aca="false">IFERROR(INDEX('Bölgesel Kurallar'!$G$5:$G$10,MATCH(C71,'Bölgesel Kurallar'!$A$5:$A$10,0)),"")</f>
        <v>Hayır</v>
      </c>
      <c r="G71" s="5" t="str">
        <f aca="false">IF(B71="İstanbul","Hedef'te vergi indirimi yok; Öncelikli (c) ve (j) İstanbul hariç; madencilik desteklenmez","—")</f>
        <v>—</v>
      </c>
      <c r="H71" s="13" t="s">
        <v>164</v>
      </c>
      <c r="I71" s="5" t="s">
        <v>164</v>
      </c>
      <c r="J71" s="5" t="s">
        <v>1448</v>
      </c>
      <c r="K71" s="5" t="s">
        <v>1449</v>
      </c>
      <c r="L71" s="5" t="s">
        <v>1450</v>
      </c>
      <c r="M71" s="5" t="s">
        <v>1451</v>
      </c>
      <c r="N71" s="5" t="s">
        <v>1452</v>
      </c>
      <c r="O71" s="5" t="s">
        <v>1453</v>
      </c>
      <c r="P71" s="5" t="s">
        <v>164</v>
      </c>
      <c r="Q71" s="22" t="s">
        <v>1454</v>
      </c>
      <c r="R71" s="4" t="s">
        <v>1082</v>
      </c>
      <c r="S71" s="23" t="s">
        <v>1042</v>
      </c>
    </row>
    <row r="72" customFormat="false" ht="35.05" hidden="false" customHeight="false" outlineLevel="0" collapsed="false">
      <c r="A72" s="21" t="n">
        <v>68</v>
      </c>
      <c r="B72" s="4" t="s">
        <v>1455</v>
      </c>
      <c r="C72" s="19" t="n">
        <v>4</v>
      </c>
      <c r="D72" s="20" t="n">
        <f aca="false">IF(C72&lt;=2,'Parasal Eşikler 2026'!$G$7,'Parasal Eşikler 2026'!$G$8)</f>
        <v>7500000</v>
      </c>
      <c r="E72" s="13" t="n">
        <f aca="false">IFERROR(INDEX('Bölgesel Kurallar'!$D$5:$D$10,MATCH(C72,'Bölgesel Kurallar'!$A$5:$A$10,0)),"")</f>
        <v>4</v>
      </c>
      <c r="F72" s="13" t="str">
        <f aca="false">IFERROR(INDEX('Bölgesel Kurallar'!$G$5:$G$10,MATCH(C72,'Bölgesel Kurallar'!$A$5:$A$10,0)),"")</f>
        <v>Evet</v>
      </c>
      <c r="G72" s="5" t="str">
        <f aca="false">IF(B72="İstanbul","Hedef'te vergi indirimi yok; Öncelikli (c) ve (j) İstanbul hariç; madencilik desteklenmez","—")</f>
        <v>—</v>
      </c>
      <c r="H72" s="13" t="s">
        <v>164</v>
      </c>
      <c r="I72" s="5" t="s">
        <v>164</v>
      </c>
      <c r="J72" s="5" t="s">
        <v>1456</v>
      </c>
      <c r="K72" s="5" t="s">
        <v>1457</v>
      </c>
      <c r="L72" s="5" t="s">
        <v>1458</v>
      </c>
      <c r="M72" s="5" t="s">
        <v>1297</v>
      </c>
      <c r="N72" s="5" t="s">
        <v>1459</v>
      </c>
      <c r="O72" s="5" t="s">
        <v>1460</v>
      </c>
      <c r="P72" s="5" t="s">
        <v>1461</v>
      </c>
      <c r="Q72" s="22" t="s">
        <v>1301</v>
      </c>
      <c r="R72" s="5" t="s">
        <v>164</v>
      </c>
      <c r="S72" s="23" t="s">
        <v>1042</v>
      </c>
    </row>
    <row r="73" customFormat="false" ht="35.05" hidden="false" customHeight="false" outlineLevel="0" collapsed="false">
      <c r="A73" s="21" t="n">
        <v>69</v>
      </c>
      <c r="B73" s="4" t="s">
        <v>1462</v>
      </c>
      <c r="C73" s="19" t="n">
        <v>5</v>
      </c>
      <c r="D73" s="20" t="n">
        <f aca="false">IF(C73&lt;=2,'Parasal Eşikler 2026'!$G$7,'Parasal Eşikler 2026'!$G$8)</f>
        <v>7500000</v>
      </c>
      <c r="E73" s="13" t="n">
        <f aca="false">IFERROR(INDEX('Bölgesel Kurallar'!$D$5:$D$10,MATCH(C73,'Bölgesel Kurallar'!$A$5:$A$10,0)),"")</f>
        <v>8</v>
      </c>
      <c r="F73" s="13" t="str">
        <f aca="false">IFERROR(INDEX('Bölgesel Kurallar'!$G$5:$G$10,MATCH(C73,'Bölgesel Kurallar'!$A$5:$A$10,0)),"")</f>
        <v>Evet</v>
      </c>
      <c r="G73" s="5" t="str">
        <f aca="false">IF(B73="İstanbul","Hedef'te vergi indirimi yok; Öncelikli (c) ve (j) İstanbul hariç; madencilik desteklenmez","—")</f>
        <v>—</v>
      </c>
      <c r="H73" s="13" t="s">
        <v>1006</v>
      </c>
      <c r="I73" s="5" t="s">
        <v>164</v>
      </c>
      <c r="J73" s="5" t="s">
        <v>164</v>
      </c>
      <c r="K73" s="5" t="s">
        <v>1463</v>
      </c>
      <c r="L73" s="5" t="s">
        <v>164</v>
      </c>
      <c r="M73" s="5" t="s">
        <v>1202</v>
      </c>
      <c r="N73" s="5" t="s">
        <v>1464</v>
      </c>
      <c r="O73" s="5" t="s">
        <v>1465</v>
      </c>
      <c r="P73" s="5" t="s">
        <v>1466</v>
      </c>
      <c r="Q73" s="22" t="s">
        <v>1206</v>
      </c>
      <c r="R73" s="5" t="s">
        <v>164</v>
      </c>
      <c r="S73" s="23" t="s">
        <v>1042</v>
      </c>
    </row>
    <row r="74" customFormat="false" ht="35.05" hidden="false" customHeight="false" outlineLevel="0" collapsed="false">
      <c r="A74" s="21" t="n">
        <v>70</v>
      </c>
      <c r="B74" s="4" t="s">
        <v>1467</v>
      </c>
      <c r="C74" s="19" t="n">
        <v>3</v>
      </c>
      <c r="D74" s="20" t="n">
        <f aca="false">IF(C74&lt;=2,'Parasal Eşikler 2026'!$G$7,'Parasal Eşikler 2026'!$G$8)</f>
        <v>7500000</v>
      </c>
      <c r="E74" s="13" t="n">
        <f aca="false">IFERROR(INDEX('Bölgesel Kurallar'!$D$5:$D$10,MATCH(C74,'Bölgesel Kurallar'!$A$5:$A$10,0)),"")</f>
        <v>2</v>
      </c>
      <c r="F74" s="13" t="str">
        <f aca="false">IFERROR(INDEX('Bölgesel Kurallar'!$G$5:$G$10,MATCH(C74,'Bölgesel Kurallar'!$A$5:$A$10,0)),"")</f>
        <v>Hayır</v>
      </c>
      <c r="G74" s="5" t="str">
        <f aca="false">IF(B74="İstanbul","Hedef'te vergi indirimi yok; Öncelikli (c) ve (j) İstanbul hariç; madencilik desteklenmez","—")</f>
        <v>—</v>
      </c>
      <c r="H74" s="13" t="s">
        <v>164</v>
      </c>
      <c r="I74" s="5" t="s">
        <v>164</v>
      </c>
      <c r="J74" s="5" t="s">
        <v>1468</v>
      </c>
      <c r="K74" s="5" t="s">
        <v>1469</v>
      </c>
      <c r="L74" s="5" t="s">
        <v>164</v>
      </c>
      <c r="M74" s="5" t="s">
        <v>1310</v>
      </c>
      <c r="N74" s="5" t="s">
        <v>1470</v>
      </c>
      <c r="O74" s="5" t="s">
        <v>1471</v>
      </c>
      <c r="P74" s="5" t="s">
        <v>1472</v>
      </c>
      <c r="Q74" s="22" t="s">
        <v>1314</v>
      </c>
      <c r="R74" s="5" t="s">
        <v>164</v>
      </c>
      <c r="S74" s="23" t="s">
        <v>1042</v>
      </c>
    </row>
    <row r="75" customFormat="false" ht="35.05" hidden="false" customHeight="false" outlineLevel="0" collapsed="false">
      <c r="A75" s="21" t="n">
        <v>71</v>
      </c>
      <c r="B75" s="4" t="s">
        <v>1473</v>
      </c>
      <c r="C75" s="19" t="n">
        <v>3</v>
      </c>
      <c r="D75" s="20" t="n">
        <f aca="false">IF(C75&lt;=2,'Parasal Eşikler 2026'!$G$7,'Parasal Eşikler 2026'!$G$8)</f>
        <v>7500000</v>
      </c>
      <c r="E75" s="13" t="n">
        <f aca="false">IFERROR(INDEX('Bölgesel Kurallar'!$D$5:$D$10,MATCH(C75,'Bölgesel Kurallar'!$A$5:$A$10,0)),"")</f>
        <v>2</v>
      </c>
      <c r="F75" s="13" t="str">
        <f aca="false">IFERROR(INDEX('Bölgesel Kurallar'!$G$5:$G$10,MATCH(C75,'Bölgesel Kurallar'!$A$5:$A$10,0)),"")</f>
        <v>Hayır</v>
      </c>
      <c r="G75" s="5" t="str">
        <f aca="false">IF(B75="İstanbul","Hedef'te vergi indirimi yok; Öncelikli (c) ve (j) İstanbul hariç; madencilik desteklenmez","—")</f>
        <v>—</v>
      </c>
      <c r="H75" s="13" t="s">
        <v>164</v>
      </c>
      <c r="I75" s="5" t="s">
        <v>164</v>
      </c>
      <c r="J75" s="5" t="s">
        <v>1474</v>
      </c>
      <c r="K75" s="5" t="s">
        <v>1475</v>
      </c>
      <c r="L75" s="5" t="s">
        <v>1476</v>
      </c>
      <c r="M75" s="5" t="s">
        <v>1297</v>
      </c>
      <c r="N75" s="5" t="s">
        <v>1477</v>
      </c>
      <c r="O75" s="5" t="s">
        <v>1478</v>
      </c>
      <c r="P75" s="5" t="s">
        <v>1479</v>
      </c>
      <c r="Q75" s="22" t="s">
        <v>1301</v>
      </c>
      <c r="R75" s="4" t="s">
        <v>1082</v>
      </c>
      <c r="S75" s="23" t="s">
        <v>1042</v>
      </c>
    </row>
    <row r="76" customFormat="false" ht="28.35" hidden="false" customHeight="false" outlineLevel="0" collapsed="false">
      <c r="A76" s="21" t="n">
        <v>72</v>
      </c>
      <c r="B76" s="4" t="s">
        <v>1480</v>
      </c>
      <c r="C76" s="19" t="n">
        <v>6</v>
      </c>
      <c r="D76" s="20" t="n">
        <f aca="false">IF(C76&lt;=2,'Parasal Eşikler 2026'!$G$7,'Parasal Eşikler 2026'!$G$8)</f>
        <v>7500000</v>
      </c>
      <c r="E76" s="13" t="n">
        <f aca="false">IFERROR(INDEX('Bölgesel Kurallar'!$D$5:$D$10,MATCH(C76,'Bölgesel Kurallar'!$A$5:$A$10,0)),"")</f>
        <v>12</v>
      </c>
      <c r="F76" s="13" t="str">
        <f aca="false">IFERROR(INDEX('Bölgesel Kurallar'!$G$5:$G$10,MATCH(C76,'Bölgesel Kurallar'!$A$5:$A$10,0)),"")</f>
        <v>Evet</v>
      </c>
      <c r="G76" s="5" t="str">
        <f aca="false">IF(B76="İstanbul","Hedef'te vergi indirimi yok; Öncelikli (c) ve (j) İstanbul hariç; madencilik desteklenmez","—")</f>
        <v>—</v>
      </c>
      <c r="H76" s="13" t="s">
        <v>1006</v>
      </c>
      <c r="I76" s="5" t="s">
        <v>164</v>
      </c>
      <c r="J76" s="5" t="s">
        <v>164</v>
      </c>
      <c r="K76" s="5" t="s">
        <v>1481</v>
      </c>
      <c r="L76" s="5" t="s">
        <v>164</v>
      </c>
      <c r="M76" s="5" t="s">
        <v>1342</v>
      </c>
      <c r="N76" s="5" t="s">
        <v>1482</v>
      </c>
      <c r="O76" s="5" t="s">
        <v>164</v>
      </c>
      <c r="P76" s="5" t="s">
        <v>164</v>
      </c>
      <c r="Q76" s="22" t="s">
        <v>1345</v>
      </c>
      <c r="R76" s="5" t="s">
        <v>164</v>
      </c>
      <c r="S76" s="23" t="s">
        <v>1042</v>
      </c>
    </row>
    <row r="77" customFormat="false" ht="28.35" hidden="false" customHeight="false" outlineLevel="0" collapsed="false">
      <c r="A77" s="21" t="n">
        <v>73</v>
      </c>
      <c r="B77" s="4" t="s">
        <v>1483</v>
      </c>
      <c r="C77" s="19" t="n">
        <v>6</v>
      </c>
      <c r="D77" s="20" t="n">
        <f aca="false">IF(C77&lt;=2,'Parasal Eşikler 2026'!$G$7,'Parasal Eşikler 2026'!$G$8)</f>
        <v>7500000</v>
      </c>
      <c r="E77" s="13" t="n">
        <f aca="false">IFERROR(INDEX('Bölgesel Kurallar'!$D$5:$D$10,MATCH(C77,'Bölgesel Kurallar'!$A$5:$A$10,0)),"")</f>
        <v>12</v>
      </c>
      <c r="F77" s="13" t="str">
        <f aca="false">IFERROR(INDEX('Bölgesel Kurallar'!$G$5:$G$10,MATCH(C77,'Bölgesel Kurallar'!$A$5:$A$10,0)),"")</f>
        <v>Evet</v>
      </c>
      <c r="G77" s="5" t="str">
        <f aca="false">IF(B77="İstanbul","Hedef'te vergi indirimi yok; Öncelikli (c) ve (j) İstanbul hariç; madencilik desteklenmez","—")</f>
        <v>—</v>
      </c>
      <c r="H77" s="13" t="s">
        <v>1006</v>
      </c>
      <c r="I77" s="5" t="s">
        <v>164</v>
      </c>
      <c r="J77" s="5" t="s">
        <v>164</v>
      </c>
      <c r="K77" s="5" t="s">
        <v>1484</v>
      </c>
      <c r="L77" s="5" t="s">
        <v>164</v>
      </c>
      <c r="M77" s="5" t="s">
        <v>1342</v>
      </c>
      <c r="N77" s="5" t="s">
        <v>1485</v>
      </c>
      <c r="O77" s="5" t="s">
        <v>164</v>
      </c>
      <c r="P77" s="5" t="s">
        <v>164</v>
      </c>
      <c r="Q77" s="22" t="s">
        <v>1345</v>
      </c>
      <c r="R77" s="5" t="s">
        <v>164</v>
      </c>
      <c r="S77" s="23" t="s">
        <v>1042</v>
      </c>
    </row>
    <row r="78" customFormat="false" ht="57.45" hidden="false" customHeight="false" outlineLevel="0" collapsed="false">
      <c r="A78" s="21" t="n">
        <v>74</v>
      </c>
      <c r="B78" s="4" t="s">
        <v>1486</v>
      </c>
      <c r="C78" s="19" t="n">
        <v>5</v>
      </c>
      <c r="D78" s="20" t="n">
        <f aca="false">IF(C78&lt;=2,'Parasal Eşikler 2026'!$G$7,'Parasal Eşikler 2026'!$G$8)</f>
        <v>7500000</v>
      </c>
      <c r="E78" s="13" t="n">
        <f aca="false">IFERROR(INDEX('Bölgesel Kurallar'!$D$5:$D$10,MATCH(C78,'Bölgesel Kurallar'!$A$5:$A$10,0)),"")</f>
        <v>8</v>
      </c>
      <c r="F78" s="13" t="str">
        <f aca="false">IFERROR(INDEX('Bölgesel Kurallar'!$G$5:$G$10,MATCH(C78,'Bölgesel Kurallar'!$A$5:$A$10,0)),"")</f>
        <v>Evet</v>
      </c>
      <c r="G78" s="5" t="str">
        <f aca="false">IF(B78="İstanbul","Hedef'te vergi indirimi yok; Öncelikli (c) ve (j) İstanbul hariç; madencilik desteklenmez","—")</f>
        <v>—</v>
      </c>
      <c r="H78" s="13" t="s">
        <v>164</v>
      </c>
      <c r="I78" s="5" t="s">
        <v>164</v>
      </c>
      <c r="J78" s="5" t="s">
        <v>164</v>
      </c>
      <c r="K78" s="5" t="s">
        <v>1487</v>
      </c>
      <c r="L78" s="5" t="s">
        <v>1488</v>
      </c>
      <c r="M78" s="5" t="s">
        <v>1451</v>
      </c>
      <c r="N78" s="5" t="s">
        <v>1489</v>
      </c>
      <c r="O78" s="5" t="s">
        <v>1490</v>
      </c>
      <c r="P78" s="5" t="s">
        <v>164</v>
      </c>
      <c r="Q78" s="22" t="s">
        <v>1454</v>
      </c>
      <c r="R78" s="4" t="s">
        <v>1082</v>
      </c>
      <c r="S78" s="23" t="s">
        <v>1042</v>
      </c>
    </row>
    <row r="79" customFormat="false" ht="28.35" hidden="false" customHeight="false" outlineLevel="0" collapsed="false">
      <c r="A79" s="21" t="n">
        <v>75</v>
      </c>
      <c r="B79" s="4" t="s">
        <v>1491</v>
      </c>
      <c r="C79" s="19" t="n">
        <v>6</v>
      </c>
      <c r="D79" s="20" t="n">
        <f aca="false">IF(C79&lt;=2,'Parasal Eşikler 2026'!$G$7,'Parasal Eşikler 2026'!$G$8)</f>
        <v>7500000</v>
      </c>
      <c r="E79" s="13" t="n">
        <f aca="false">IFERROR(INDEX('Bölgesel Kurallar'!$D$5:$D$10,MATCH(C79,'Bölgesel Kurallar'!$A$5:$A$10,0)),"")</f>
        <v>12</v>
      </c>
      <c r="F79" s="13" t="str">
        <f aca="false">IFERROR(INDEX('Bölgesel Kurallar'!$G$5:$G$10,MATCH(C79,'Bölgesel Kurallar'!$A$5:$A$10,0)),"")</f>
        <v>Evet</v>
      </c>
      <c r="G79" s="5" t="str">
        <f aca="false">IF(B79="İstanbul","Hedef'te vergi indirimi yok; Öncelikli (c) ve (j) İstanbul hariç; madencilik desteklenmez","—")</f>
        <v>—</v>
      </c>
      <c r="H79" s="13" t="s">
        <v>1006</v>
      </c>
      <c r="I79" s="5" t="s">
        <v>164</v>
      </c>
      <c r="J79" s="5" t="s">
        <v>164</v>
      </c>
      <c r="K79" s="5" t="s">
        <v>1492</v>
      </c>
      <c r="L79" s="5" t="s">
        <v>164</v>
      </c>
      <c r="M79" s="5" t="s">
        <v>1061</v>
      </c>
      <c r="N79" s="5" t="s">
        <v>1493</v>
      </c>
      <c r="O79" s="5" t="s">
        <v>1494</v>
      </c>
      <c r="P79" s="5" t="s">
        <v>1495</v>
      </c>
      <c r="Q79" s="22" t="s">
        <v>1064</v>
      </c>
      <c r="R79" s="5" t="s">
        <v>164</v>
      </c>
      <c r="S79" s="23" t="s">
        <v>1042</v>
      </c>
    </row>
    <row r="80" customFormat="false" ht="28.35" hidden="false" customHeight="false" outlineLevel="0" collapsed="false">
      <c r="A80" s="21" t="n">
        <v>76</v>
      </c>
      <c r="B80" s="4" t="s">
        <v>1496</v>
      </c>
      <c r="C80" s="19" t="n">
        <v>6</v>
      </c>
      <c r="D80" s="20" t="n">
        <f aca="false">IF(C80&lt;=2,'Parasal Eşikler 2026'!$G$7,'Parasal Eşikler 2026'!$G$8)</f>
        <v>7500000</v>
      </c>
      <c r="E80" s="13" t="n">
        <f aca="false">IFERROR(INDEX('Bölgesel Kurallar'!$D$5:$D$10,MATCH(C80,'Bölgesel Kurallar'!$A$5:$A$10,0)),"")</f>
        <v>12</v>
      </c>
      <c r="F80" s="13" t="str">
        <f aca="false">IFERROR(INDEX('Bölgesel Kurallar'!$G$5:$G$10,MATCH(C80,'Bölgesel Kurallar'!$A$5:$A$10,0)),"")</f>
        <v>Evet</v>
      </c>
      <c r="G80" s="5" t="str">
        <f aca="false">IF(B80="İstanbul","Hedef'te vergi indirimi yok; Öncelikli (c) ve (j) İstanbul hariç; madencilik desteklenmez","—")</f>
        <v>—</v>
      </c>
      <c r="H80" s="13" t="s">
        <v>1006</v>
      </c>
      <c r="I80" s="5" t="s">
        <v>164</v>
      </c>
      <c r="J80" s="5" t="s">
        <v>164</v>
      </c>
      <c r="K80" s="5" t="s">
        <v>1497</v>
      </c>
      <c r="L80" s="5" t="s">
        <v>164</v>
      </c>
      <c r="M80" s="5" t="s">
        <v>1061</v>
      </c>
      <c r="N80" s="5" t="s">
        <v>1498</v>
      </c>
      <c r="O80" s="5" t="s">
        <v>1499</v>
      </c>
      <c r="P80" s="5" t="s">
        <v>1500</v>
      </c>
      <c r="Q80" s="22" t="s">
        <v>1064</v>
      </c>
      <c r="R80" s="5" t="s">
        <v>164</v>
      </c>
      <c r="S80" s="23" t="s">
        <v>1042</v>
      </c>
    </row>
    <row r="81" customFormat="false" ht="35.05" hidden="false" customHeight="false" outlineLevel="0" collapsed="false">
      <c r="A81" s="21" t="n">
        <v>77</v>
      </c>
      <c r="B81" s="4" t="s">
        <v>1501</v>
      </c>
      <c r="C81" s="19" t="n">
        <v>2</v>
      </c>
      <c r="D81" s="20" t="n">
        <f aca="false">IF(C81&lt;=2,'Parasal Eşikler 2026'!$G$7,'Parasal Eşikler 2026'!$G$8)</f>
        <v>15100000</v>
      </c>
      <c r="E81" s="13" t="n">
        <f aca="false">IFERROR(INDEX('Bölgesel Kurallar'!$D$5:$D$10,MATCH(C81,'Bölgesel Kurallar'!$A$5:$A$10,0)),"")</f>
        <v>1</v>
      </c>
      <c r="F81" s="13" t="str">
        <f aca="false">IFERROR(INDEX('Bölgesel Kurallar'!$G$5:$G$10,MATCH(C81,'Bölgesel Kurallar'!$A$5:$A$10,0)),"")</f>
        <v>Hayır</v>
      </c>
      <c r="G81" s="5" t="str">
        <f aca="false">IF(B81="İstanbul","Hedef'te vergi indirimi yok; Öncelikli (c) ve (j) İstanbul hariç; madencilik desteklenmez","—")</f>
        <v>—</v>
      </c>
      <c r="H81" s="13" t="s">
        <v>164</v>
      </c>
      <c r="I81" s="5" t="s">
        <v>164</v>
      </c>
      <c r="J81" s="5" t="s">
        <v>164</v>
      </c>
      <c r="K81" s="5" t="s">
        <v>1502</v>
      </c>
      <c r="L81" s="5" t="s">
        <v>164</v>
      </c>
      <c r="M81" s="5" t="s">
        <v>1135</v>
      </c>
      <c r="N81" s="5" t="s">
        <v>1503</v>
      </c>
      <c r="O81" s="5" t="s">
        <v>164</v>
      </c>
      <c r="P81" s="5" t="s">
        <v>164</v>
      </c>
      <c r="Q81" s="22" t="s">
        <v>1137</v>
      </c>
      <c r="R81" s="5" t="s">
        <v>164</v>
      </c>
      <c r="S81" s="23" t="s">
        <v>1042</v>
      </c>
    </row>
    <row r="82" customFormat="false" ht="35.05" hidden="false" customHeight="false" outlineLevel="0" collapsed="false">
      <c r="A82" s="21" t="n">
        <v>78</v>
      </c>
      <c r="B82" s="4" t="s">
        <v>1504</v>
      </c>
      <c r="C82" s="19" t="n">
        <v>3</v>
      </c>
      <c r="D82" s="20" t="n">
        <f aca="false">IF(C82&lt;=2,'Parasal Eşikler 2026'!$G$7,'Parasal Eşikler 2026'!$G$8)</f>
        <v>7500000</v>
      </c>
      <c r="E82" s="13" t="n">
        <f aca="false">IFERROR(INDEX('Bölgesel Kurallar'!$D$5:$D$10,MATCH(C82,'Bölgesel Kurallar'!$A$5:$A$10,0)),"")</f>
        <v>2</v>
      </c>
      <c r="F82" s="13" t="str">
        <f aca="false">IFERROR(INDEX('Bölgesel Kurallar'!$G$5:$G$10,MATCH(C82,'Bölgesel Kurallar'!$A$5:$A$10,0)),"")</f>
        <v>Hayır</v>
      </c>
      <c r="G82" s="5" t="str">
        <f aca="false">IF(B82="İstanbul","Hedef'te vergi indirimi yok; Öncelikli (c) ve (j) İstanbul hariç; madencilik desteklenmez","—")</f>
        <v>—</v>
      </c>
      <c r="H82" s="13" t="s">
        <v>164</v>
      </c>
      <c r="I82" s="5" t="s">
        <v>164</v>
      </c>
      <c r="J82" s="5" t="s">
        <v>1505</v>
      </c>
      <c r="K82" s="5" t="s">
        <v>1506</v>
      </c>
      <c r="L82" s="5" t="s">
        <v>164</v>
      </c>
      <c r="M82" s="5" t="s">
        <v>1451</v>
      </c>
      <c r="N82" s="5" t="s">
        <v>1507</v>
      </c>
      <c r="O82" s="5" t="s">
        <v>1508</v>
      </c>
      <c r="P82" s="5" t="s">
        <v>164</v>
      </c>
      <c r="Q82" s="22" t="s">
        <v>1454</v>
      </c>
      <c r="R82" s="4" t="s">
        <v>1082</v>
      </c>
      <c r="S82" s="23" t="s">
        <v>1042</v>
      </c>
    </row>
    <row r="83" customFormat="false" ht="35.05" hidden="false" customHeight="false" outlineLevel="0" collapsed="false">
      <c r="A83" s="21" t="n">
        <v>79</v>
      </c>
      <c r="B83" s="4" t="s">
        <v>1509</v>
      </c>
      <c r="C83" s="19" t="n">
        <v>5</v>
      </c>
      <c r="D83" s="20" t="n">
        <f aca="false">IF(C83&lt;=2,'Parasal Eşikler 2026'!$G$7,'Parasal Eşikler 2026'!$G$8)</f>
        <v>7500000</v>
      </c>
      <c r="E83" s="13" t="n">
        <f aca="false">IFERROR(INDEX('Bölgesel Kurallar'!$D$5:$D$10,MATCH(C83,'Bölgesel Kurallar'!$A$5:$A$10,0)),"")</f>
        <v>8</v>
      </c>
      <c r="F83" s="13" t="str">
        <f aca="false">IFERROR(INDEX('Bölgesel Kurallar'!$G$5:$G$10,MATCH(C83,'Bölgesel Kurallar'!$A$5:$A$10,0)),"")</f>
        <v>Evet</v>
      </c>
      <c r="G83" s="5" t="str">
        <f aca="false">IF(B83="İstanbul","Hedef'te vergi indirimi yok; Öncelikli (c) ve (j) İstanbul hariç; madencilik desteklenmez","—")</f>
        <v>—</v>
      </c>
      <c r="H83" s="13" t="s">
        <v>164</v>
      </c>
      <c r="I83" s="5" t="s">
        <v>1510</v>
      </c>
      <c r="J83" s="5" t="s">
        <v>1511</v>
      </c>
      <c r="K83" s="5" t="s">
        <v>1512</v>
      </c>
      <c r="L83" s="5" t="s">
        <v>164</v>
      </c>
      <c r="M83" s="5" t="s">
        <v>1046</v>
      </c>
      <c r="N83" s="5" t="s">
        <v>1513</v>
      </c>
      <c r="O83" s="5" t="s">
        <v>164</v>
      </c>
      <c r="P83" s="5" t="s">
        <v>164</v>
      </c>
      <c r="Q83" s="22" t="s">
        <v>1049</v>
      </c>
      <c r="R83" s="4" t="s">
        <v>1041</v>
      </c>
      <c r="S83" s="23" t="s">
        <v>1042</v>
      </c>
    </row>
    <row r="84" customFormat="false" ht="35.05" hidden="false" customHeight="false" outlineLevel="0" collapsed="false">
      <c r="A84" s="21" t="n">
        <v>80</v>
      </c>
      <c r="B84" s="4" t="s">
        <v>1514</v>
      </c>
      <c r="C84" s="19" t="n">
        <v>5</v>
      </c>
      <c r="D84" s="20" t="n">
        <f aca="false">IF(C84&lt;=2,'Parasal Eşikler 2026'!$G$7,'Parasal Eşikler 2026'!$G$8)</f>
        <v>7500000</v>
      </c>
      <c r="E84" s="13" t="n">
        <f aca="false">IFERROR(INDEX('Bölgesel Kurallar'!$D$5:$D$10,MATCH(C84,'Bölgesel Kurallar'!$A$5:$A$10,0)),"")</f>
        <v>8</v>
      </c>
      <c r="F84" s="13" t="str">
        <f aca="false">IFERROR(INDEX('Bölgesel Kurallar'!$G$5:$G$10,MATCH(C84,'Bölgesel Kurallar'!$A$5:$A$10,0)),"")</f>
        <v>Evet</v>
      </c>
      <c r="G84" s="5" t="str">
        <f aca="false">IF(B84="İstanbul","Hedef'te vergi indirimi yok; Öncelikli (c) ve (j) İstanbul hariç; madencilik desteklenmez","—")</f>
        <v>—</v>
      </c>
      <c r="H84" s="13" t="s">
        <v>164</v>
      </c>
      <c r="I84" s="5" t="s">
        <v>1515</v>
      </c>
      <c r="J84" s="5" t="s">
        <v>1516</v>
      </c>
      <c r="K84" s="5" t="s">
        <v>1517</v>
      </c>
      <c r="L84" s="5" t="s">
        <v>1518</v>
      </c>
      <c r="M84" s="5" t="s">
        <v>1239</v>
      </c>
      <c r="N84" s="5" t="s">
        <v>1519</v>
      </c>
      <c r="O84" s="5" t="s">
        <v>1520</v>
      </c>
      <c r="P84" s="5" t="s">
        <v>1521</v>
      </c>
      <c r="Q84" s="22" t="s">
        <v>1243</v>
      </c>
      <c r="R84" s="4" t="s">
        <v>1041</v>
      </c>
      <c r="S84" s="23" t="s">
        <v>1042</v>
      </c>
    </row>
    <row r="85" customFormat="false" ht="46.25" hidden="false" customHeight="false" outlineLevel="0" collapsed="false">
      <c r="A85" s="21" t="n">
        <v>81</v>
      </c>
      <c r="B85" s="4" t="s">
        <v>1522</v>
      </c>
      <c r="C85" s="19" t="n">
        <v>3</v>
      </c>
      <c r="D85" s="20" t="n">
        <f aca="false">IF(C85&lt;=2,'Parasal Eşikler 2026'!$G$7,'Parasal Eşikler 2026'!$G$8)</f>
        <v>7500000</v>
      </c>
      <c r="E85" s="13" t="n">
        <f aca="false">IFERROR(INDEX('Bölgesel Kurallar'!$D$5:$D$10,MATCH(C85,'Bölgesel Kurallar'!$A$5:$A$10,0)),"")</f>
        <v>2</v>
      </c>
      <c r="F85" s="13" t="str">
        <f aca="false">IFERROR(INDEX('Bölgesel Kurallar'!$G$5:$G$10,MATCH(C85,'Bölgesel Kurallar'!$A$5:$A$10,0)),"")</f>
        <v>Hayır</v>
      </c>
      <c r="G85" s="5" t="str">
        <f aca="false">IF(B85="İstanbul","Hedef'te vergi indirimi yok; Öncelikli (c) ve (j) İstanbul hariç; madencilik desteklenmez","—")</f>
        <v>—</v>
      </c>
      <c r="H85" s="13" t="s">
        <v>164</v>
      </c>
      <c r="I85" s="5" t="s">
        <v>164</v>
      </c>
      <c r="J85" s="5" t="s">
        <v>1523</v>
      </c>
      <c r="K85" s="5" t="s">
        <v>1524</v>
      </c>
      <c r="L85" s="5" t="s">
        <v>1525</v>
      </c>
      <c r="M85" s="5" t="s">
        <v>1135</v>
      </c>
      <c r="N85" s="5" t="s">
        <v>1526</v>
      </c>
      <c r="O85" s="5" t="s">
        <v>164</v>
      </c>
      <c r="P85" s="5" t="s">
        <v>164</v>
      </c>
      <c r="Q85" s="22" t="s">
        <v>1137</v>
      </c>
      <c r="R85" s="5" t="s">
        <v>164</v>
      </c>
      <c r="S85" s="23" t="s">
        <v>1042</v>
      </c>
    </row>
  </sheetData>
  <autoFilter ref="A4:S85"/>
  <conditionalFormatting sqref="C5:C85">
    <cfRule type="cellIs" priority="2" operator="equal" aboveAverage="0" equalAverage="0" bottom="0" percent="0" rank="0" text="" dxfId="29">
      <formula>6</formula>
    </cfRule>
  </conditionalFormatting>
  <conditionalFormatting sqref="H5:H85">
    <cfRule type="cellIs" priority="3" operator="equal" aboveAverage="0" equalAverage="0" bottom="0" percent="0" rank="0" text="" dxfId="15">
      <formula>"Evet"</formula>
    </cfRule>
  </conditionalFormatting>
  <conditionalFormatting sqref="R5:R85">
    <cfRule type="expression" priority="4" aboveAverage="0" equalAverage="0" bottom="0" percent="0" rank="0" text="" dxfId="30">
      <formula>R5&lt;&gt;"—"</formula>
    </cfRule>
  </conditionalFormatting>
  <hyperlinks>
    <hyperlink ref="Q5" r:id="rId1" display="https://www.cka.gov.tr/"/>
    <hyperlink ref="Q6" r:id="rId2" display="https://www.ika.org.tr/"/>
    <hyperlink ref="Q7" r:id="rId3" display="https://zafer.gov.tr/"/>
    <hyperlink ref="Q8" r:id="rId4" display="https://www.serka.gov.tr/"/>
    <hyperlink ref="Q9" r:id="rId5" display="https://www.oka.gov.tr/"/>
    <hyperlink ref="Q10" r:id="rId6" display="https://www.ankaraka.org.tr//"/>
    <hyperlink ref="Q11" r:id="rId7" display="https://www.baka.gov.tr/"/>
    <hyperlink ref="Q12" r:id="rId8" display="https://www.doka.org.tr/"/>
    <hyperlink ref="Q13" r:id="rId9" display="https://geka.gov.tr/"/>
    <hyperlink ref="Q14" r:id="rId10" display="https://www.gmka.gov.tr/"/>
    <hyperlink ref="Q15" r:id="rId11" display="https://www.bebka.org.tr/"/>
    <hyperlink ref="Q16" r:id="rId12" display="https://fka.gov.tr//"/>
    <hyperlink ref="Q17" r:id="rId13" display="https://daka.gov.tr//"/>
    <hyperlink ref="Q18" r:id="rId14" display="http://www.marka.org.tr/"/>
    <hyperlink ref="Q19" r:id="rId15" display="https://www.baka.gov.tr/"/>
    <hyperlink ref="Q20" r:id="rId16" display="https://www.bebka.org.tr/"/>
    <hyperlink ref="Q21" r:id="rId17" display="https://www.gmka.gov.tr/"/>
    <hyperlink ref="Q22" r:id="rId18" display="https://www.kuzka.gov.tr/"/>
    <hyperlink ref="Q23" r:id="rId19" display="https://www.oka.gov.tr/"/>
    <hyperlink ref="Q24" r:id="rId20" display="https://geka.gov.tr/"/>
    <hyperlink ref="Q25" r:id="rId21" display="https://www.karacadag.gov.tr/"/>
    <hyperlink ref="Q26" r:id="rId22" display="https://www.trakyaka.org.tr/"/>
    <hyperlink ref="Q27" r:id="rId23" display="https://fka.gov.tr//"/>
    <hyperlink ref="Q28" r:id="rId24" display="https://www.kudaka.org.tr/"/>
    <hyperlink ref="Q29" r:id="rId25" display="https://www.kudaka.org.tr/"/>
    <hyperlink ref="Q30" r:id="rId26" display="https://www.bebka.org.tr/"/>
    <hyperlink ref="Q31" r:id="rId27" display="https://www.ika.org.tr/"/>
    <hyperlink ref="Q32" r:id="rId28" display="https://www.doka.org.tr/"/>
    <hyperlink ref="Q33" r:id="rId29" display="https://www.doka.org.tr/"/>
    <hyperlink ref="Q34" r:id="rId30" display="https://daka.gov.tr//"/>
    <hyperlink ref="Q35" r:id="rId31" display="https://www.dogaka.gov.tr/"/>
    <hyperlink ref="Q36" r:id="rId32" display="https://www.baka.gov.tr/"/>
    <hyperlink ref="Q37" r:id="rId33" display="https://www.cka.gov.tr/"/>
    <hyperlink ref="Q38" r:id="rId34" display="https://www.istka.org.tr/"/>
    <hyperlink ref="Q39" r:id="rId35" display="https://izka.org.tr/"/>
    <hyperlink ref="Q40" r:id="rId36" display="https://www.serka.gov.tr/"/>
    <hyperlink ref="Q41" r:id="rId37" display="https://www.kuzka.gov.tr/"/>
    <hyperlink ref="Q42" r:id="rId38" display="https://www.oran.gov.tr/"/>
    <hyperlink ref="Q43" r:id="rId39" display="https://www.trakyaka.org.tr/"/>
    <hyperlink ref="Q44" r:id="rId40" display="https://www.ahika.gov.tr/"/>
    <hyperlink ref="Q45" r:id="rId41" display="http://www.marka.org.tr/"/>
    <hyperlink ref="Q46" r:id="rId42" display="https://www.mevka.org.tr/"/>
    <hyperlink ref="Q47" r:id="rId43" display="https://zafer.gov.tr/"/>
    <hyperlink ref="Q48" r:id="rId44" display="https://fka.gov.tr//"/>
    <hyperlink ref="Q49" r:id="rId45" display="https://zafer.gov.tr/"/>
    <hyperlink ref="Q50" r:id="rId46" display="https://www.dogaka.gov.tr/"/>
    <hyperlink ref="Q51" r:id="rId47" display="https://www.dika.gov.tr/"/>
    <hyperlink ref="Q52" r:id="rId48" display="https://geka.gov.tr/"/>
    <hyperlink ref="Q53" r:id="rId49" display="https://daka.gov.tr//"/>
    <hyperlink ref="Q54" r:id="rId50" display="https://www.ahika.gov.tr/"/>
    <hyperlink ref="Q55" r:id="rId51" display="https://www.ahika.gov.tr/"/>
    <hyperlink ref="Q56" r:id="rId52" display="https://www.doka.org.tr/"/>
    <hyperlink ref="Q57" r:id="rId53" display="https://www.doka.org.tr/"/>
    <hyperlink ref="Q58" r:id="rId54" display="http://www.marka.org.tr/"/>
    <hyperlink ref="Q59" r:id="rId55" display="https://www.oka.gov.tr/"/>
    <hyperlink ref="Q60" r:id="rId56" display="https://www.dika.gov.tr/"/>
    <hyperlink ref="Q61" r:id="rId57" display="https://www.kuzka.gov.tr/"/>
    <hyperlink ref="Q62" r:id="rId58" display="https://www.oran.gov.tr/"/>
    <hyperlink ref="Q63" r:id="rId59" display="https://www.trakyaka.org.tr/"/>
    <hyperlink ref="Q64" r:id="rId60" display="https://www.oka.gov.tr/"/>
    <hyperlink ref="Q65" r:id="rId61" display="https://www.doka.org.tr/"/>
    <hyperlink ref="Q66" r:id="rId62" display="https://fka.gov.tr//"/>
    <hyperlink ref="Q67" r:id="rId63" display="https://www.karacadag.gov.tr/"/>
    <hyperlink ref="Q68" r:id="rId64" display="https://zafer.gov.tr/"/>
    <hyperlink ref="Q69" r:id="rId65" display="https://daka.gov.tr//"/>
    <hyperlink ref="Q70" r:id="rId66" display="https://www.oran.gov.tr/"/>
    <hyperlink ref="Q71" r:id="rId67" display="https://www.bakka.gov.tr/"/>
    <hyperlink ref="Q72" r:id="rId68" display="https://www.ahika.gov.tr/"/>
    <hyperlink ref="Q73" r:id="rId69" display="https://www.kudaka.org.tr/"/>
    <hyperlink ref="Q74" r:id="rId70" display="https://www.mevka.org.tr/"/>
    <hyperlink ref="Q75" r:id="rId71" display="https://www.ahika.gov.tr/"/>
    <hyperlink ref="Q76" r:id="rId72" display="https://www.dika.gov.tr/"/>
    <hyperlink ref="Q77" r:id="rId73" display="https://www.dika.gov.tr/"/>
    <hyperlink ref="Q78" r:id="rId74" display="https://www.bakka.gov.tr/"/>
    <hyperlink ref="Q79" r:id="rId75" display="https://www.serka.gov.tr/"/>
    <hyperlink ref="Q80" r:id="rId76" display="https://www.serka.gov.tr/"/>
    <hyperlink ref="Q81" r:id="rId77" display="http://www.marka.org.tr/"/>
    <hyperlink ref="Q82" r:id="rId78" display="https://www.bakka.gov.tr/"/>
    <hyperlink ref="Q83" r:id="rId79" display="https://www.ika.org.tr/"/>
    <hyperlink ref="Q84" r:id="rId80" display="https://www.dogaka.gov.tr/"/>
    <hyperlink ref="Q85" r:id="rId81" display="http://www.marka.org.tr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17.35" hidden="false" customHeight="false" outlineLevel="0" collapsed="false">
      <c r="A1" s="1" t="s">
        <v>1527</v>
      </c>
    </row>
    <row r="2" customFormat="false" ht="15" hidden="false" customHeight="false" outlineLevel="0" collapsed="false">
      <c r="A2" s="2" t="s">
        <v>1528</v>
      </c>
    </row>
    <row r="4" customFormat="false" ht="30" hidden="false" customHeight="true" outlineLevel="0" collapsed="false">
      <c r="A4" s="3" t="s">
        <v>1017</v>
      </c>
      <c r="B4" s="3" t="s">
        <v>993</v>
      </c>
      <c r="C4" s="3" t="s">
        <v>1529</v>
      </c>
      <c r="D4" s="3" t="s">
        <v>1530</v>
      </c>
      <c r="E4" s="3" t="s">
        <v>1531</v>
      </c>
      <c r="F4" s="3" t="s">
        <v>1026</v>
      </c>
    </row>
    <row r="5" customFormat="false" ht="15" hidden="false" customHeight="false" outlineLevel="0" collapsed="false">
      <c r="A5" s="4" t="s">
        <v>1033</v>
      </c>
      <c r="B5" s="13" t="n">
        <f aca="false">IFERROR(INDEX(İller!$C$5:$C$85,MATCH(A5,İller!$B$5:$B$85,0)),"")</f>
        <v>3</v>
      </c>
      <c r="C5" s="13" t="n">
        <v>1</v>
      </c>
      <c r="D5" s="5" t="s">
        <v>1532</v>
      </c>
      <c r="E5" s="13" t="s">
        <v>164</v>
      </c>
      <c r="F5" s="5" t="str">
        <f aca="false">IFERROR(INDEX(İller!$M$5:$M$85,MATCH(A5,İller!$B$5:$B$85,0)),"")</f>
        <v>Çukurova Kalkınma Ajansı</v>
      </c>
    </row>
    <row r="6" customFormat="false" ht="15" hidden="false" customHeight="false" outlineLevel="0" collapsed="false">
      <c r="A6" s="4" t="s">
        <v>1033</v>
      </c>
      <c r="B6" s="13" t="n">
        <f aca="false">IFERROR(INDEX(İller!$C$5:$C$85,MATCH(A6,İller!$B$5:$B$85,0)),"")</f>
        <v>3</v>
      </c>
      <c r="C6" s="13" t="n">
        <v>2</v>
      </c>
      <c r="D6" s="5" t="s">
        <v>1533</v>
      </c>
      <c r="E6" s="13" t="s">
        <v>164</v>
      </c>
      <c r="F6" s="5" t="str">
        <f aca="false">IFERROR(INDEX(İller!$M$5:$M$85,MATCH(A6,İller!$B$5:$B$85,0)),"")</f>
        <v>Çukurova Kalkınma Ajansı</v>
      </c>
    </row>
    <row r="7" customFormat="false" ht="15" hidden="false" customHeight="false" outlineLevel="0" collapsed="false">
      <c r="A7" s="4" t="s">
        <v>1033</v>
      </c>
      <c r="B7" s="13" t="n">
        <f aca="false">IFERROR(INDEX(İller!$C$5:$C$85,MATCH(A7,İller!$B$5:$B$85,0)),"")</f>
        <v>3</v>
      </c>
      <c r="C7" s="13" t="n">
        <v>3</v>
      </c>
      <c r="D7" s="5" t="s">
        <v>1036</v>
      </c>
      <c r="E7" s="13" t="s">
        <v>1006</v>
      </c>
      <c r="F7" s="5" t="str">
        <f aca="false">IFERROR(INDEX(İller!$M$5:$M$85,MATCH(A7,İller!$B$5:$B$85,0)),"")</f>
        <v>Çukurova Kalkınma Ajansı</v>
      </c>
    </row>
    <row r="8" customFormat="false" ht="15" hidden="false" customHeight="false" outlineLevel="0" collapsed="false">
      <c r="A8" s="4" t="s">
        <v>1033</v>
      </c>
      <c r="B8" s="13" t="n">
        <f aca="false">IFERROR(INDEX(İller!$C$5:$C$85,MATCH(A8,İller!$B$5:$B$85,0)),"")</f>
        <v>3</v>
      </c>
      <c r="C8" s="13" t="n">
        <v>4</v>
      </c>
      <c r="D8" s="5" t="s">
        <v>1534</v>
      </c>
      <c r="E8" s="13" t="s">
        <v>164</v>
      </c>
      <c r="F8" s="5" t="str">
        <f aca="false">IFERROR(INDEX(İller!$M$5:$M$85,MATCH(A8,İller!$B$5:$B$85,0)),"")</f>
        <v>Çukurova Kalkınma Ajansı</v>
      </c>
    </row>
    <row r="9" customFormat="false" ht="15" hidden="false" customHeight="false" outlineLevel="0" collapsed="false">
      <c r="A9" s="4" t="s">
        <v>1043</v>
      </c>
      <c r="B9" s="13" t="n">
        <f aca="false">IFERROR(INDEX(İller!$C$5:$C$85,MATCH(A9,İller!$B$5:$B$85,0)),"")</f>
        <v>6</v>
      </c>
      <c r="C9" s="13" t="n">
        <v>1</v>
      </c>
      <c r="D9" s="5" t="s">
        <v>1535</v>
      </c>
      <c r="E9" s="13" t="s">
        <v>164</v>
      </c>
      <c r="F9" s="5" t="str">
        <f aca="false">IFERROR(INDEX(İller!$M$5:$M$85,MATCH(A9,İller!$B$5:$B$85,0)),"")</f>
        <v>İpek Yolu Kalkınma Ajansı</v>
      </c>
    </row>
    <row r="10" customFormat="false" ht="15" hidden="false" customHeight="false" outlineLevel="0" collapsed="false">
      <c r="A10" s="4" t="s">
        <v>1043</v>
      </c>
      <c r="B10" s="13" t="n">
        <f aca="false">IFERROR(INDEX(İller!$C$5:$C$85,MATCH(A10,İller!$B$5:$B$85,0)),"")</f>
        <v>6</v>
      </c>
      <c r="C10" s="13" t="n">
        <v>2</v>
      </c>
      <c r="D10" s="5" t="s">
        <v>1536</v>
      </c>
      <c r="E10" s="13" t="s">
        <v>164</v>
      </c>
      <c r="F10" s="5" t="str">
        <f aca="false">IFERROR(INDEX(İller!$M$5:$M$85,MATCH(A10,İller!$B$5:$B$85,0)),"")</f>
        <v>İpek Yolu Kalkınma Ajansı</v>
      </c>
    </row>
    <row r="11" customFormat="false" ht="15" hidden="false" customHeight="false" outlineLevel="0" collapsed="false">
      <c r="A11" s="4" t="s">
        <v>1043</v>
      </c>
      <c r="B11" s="13" t="n">
        <f aca="false">IFERROR(INDEX(İller!$C$5:$C$85,MATCH(A11,İller!$B$5:$B$85,0)),"")</f>
        <v>6</v>
      </c>
      <c r="C11" s="13" t="n">
        <v>3</v>
      </c>
      <c r="D11" s="5" t="s">
        <v>1537</v>
      </c>
      <c r="E11" s="13" t="s">
        <v>164</v>
      </c>
      <c r="F11" s="5" t="str">
        <f aca="false">IFERROR(INDEX(İller!$M$5:$M$85,MATCH(A11,İller!$B$5:$B$85,0)),"")</f>
        <v>İpek Yolu Kalkınma Ajansı</v>
      </c>
    </row>
    <row r="12" customFormat="false" ht="15" hidden="false" customHeight="false" outlineLevel="0" collapsed="false">
      <c r="A12" s="4" t="s">
        <v>1043</v>
      </c>
      <c r="B12" s="13" t="n">
        <f aca="false">IFERROR(INDEX(İller!$C$5:$C$85,MATCH(A12,İller!$B$5:$B$85,0)),"")</f>
        <v>6</v>
      </c>
      <c r="C12" s="13" t="n">
        <v>4</v>
      </c>
      <c r="D12" s="5" t="s">
        <v>1533</v>
      </c>
      <c r="E12" s="13" t="s">
        <v>164</v>
      </c>
      <c r="F12" s="5" t="str">
        <f aca="false">IFERROR(INDEX(İller!$M$5:$M$85,MATCH(A12,İller!$B$5:$B$85,0)),"")</f>
        <v>İpek Yolu Kalkınma Ajansı</v>
      </c>
    </row>
    <row r="13" customFormat="false" ht="15" hidden="false" customHeight="false" outlineLevel="0" collapsed="false">
      <c r="A13" s="4" t="s">
        <v>1050</v>
      </c>
      <c r="B13" s="13" t="n">
        <f aca="false">IFERROR(INDEX(İller!$C$5:$C$85,MATCH(A13,İller!$B$5:$B$85,0)),"")</f>
        <v>4</v>
      </c>
      <c r="C13" s="13" t="n">
        <v>1</v>
      </c>
      <c r="D13" s="5" t="s">
        <v>1538</v>
      </c>
      <c r="E13" s="13" t="s">
        <v>164</v>
      </c>
      <c r="F13" s="5" t="str">
        <f aca="false">IFERROR(INDEX(İller!$M$5:$M$85,MATCH(A13,İller!$B$5:$B$85,0)),"")</f>
        <v>Zafer Kalkınma Ajansı</v>
      </c>
    </row>
    <row r="14" customFormat="false" ht="15" hidden="false" customHeight="false" outlineLevel="0" collapsed="false">
      <c r="A14" s="4" t="s">
        <v>1050</v>
      </c>
      <c r="B14" s="13" t="n">
        <f aca="false">IFERROR(INDEX(İller!$C$5:$C$85,MATCH(A14,İller!$B$5:$B$85,0)),"")</f>
        <v>4</v>
      </c>
      <c r="C14" s="13" t="n">
        <v>2</v>
      </c>
      <c r="D14" s="5" t="s">
        <v>1053</v>
      </c>
      <c r="E14" s="13" t="s">
        <v>1006</v>
      </c>
      <c r="F14" s="5" t="str">
        <f aca="false">IFERROR(INDEX(İller!$M$5:$M$85,MATCH(A14,İller!$B$5:$B$85,0)),"")</f>
        <v>Zafer Kalkınma Ajansı</v>
      </c>
    </row>
    <row r="15" customFormat="false" ht="15" hidden="false" customHeight="false" outlineLevel="0" collapsed="false">
      <c r="A15" s="4" t="s">
        <v>1050</v>
      </c>
      <c r="B15" s="13" t="n">
        <f aca="false">IFERROR(INDEX(İller!$C$5:$C$85,MATCH(A15,İller!$B$5:$B$85,0)),"")</f>
        <v>4</v>
      </c>
      <c r="C15" s="13" t="n">
        <v>3</v>
      </c>
      <c r="D15" s="5" t="s">
        <v>1539</v>
      </c>
      <c r="E15" s="13" t="s">
        <v>164</v>
      </c>
      <c r="F15" s="5" t="str">
        <f aca="false">IFERROR(INDEX(İller!$M$5:$M$85,MATCH(A15,İller!$B$5:$B$85,0)),"")</f>
        <v>Zafer Kalkınma Ajansı</v>
      </c>
    </row>
    <row r="16" customFormat="false" ht="15" hidden="false" customHeight="false" outlineLevel="0" collapsed="false">
      <c r="A16" s="4" t="s">
        <v>1050</v>
      </c>
      <c r="B16" s="13" t="n">
        <f aca="false">IFERROR(INDEX(İller!$C$5:$C$85,MATCH(A16,İller!$B$5:$B$85,0)),"")</f>
        <v>4</v>
      </c>
      <c r="C16" s="13" t="n">
        <v>4</v>
      </c>
      <c r="D16" s="5" t="s">
        <v>1540</v>
      </c>
      <c r="E16" s="13" t="s">
        <v>164</v>
      </c>
      <c r="F16" s="5" t="str">
        <f aca="false">IFERROR(INDEX(İller!$M$5:$M$85,MATCH(A16,İller!$B$5:$B$85,0)),"")</f>
        <v>Zafer Kalkınma Ajansı</v>
      </c>
    </row>
    <row r="17" customFormat="false" ht="15" hidden="false" customHeight="false" outlineLevel="0" collapsed="false">
      <c r="A17" s="4" t="s">
        <v>1058</v>
      </c>
      <c r="B17" s="13" t="n">
        <f aca="false">IFERROR(INDEX(İller!$C$5:$C$85,MATCH(A17,İller!$B$5:$B$85,0)),"")</f>
        <v>6</v>
      </c>
      <c r="C17" s="13" t="n">
        <v>1</v>
      </c>
      <c r="D17" s="5" t="s">
        <v>1541</v>
      </c>
      <c r="E17" s="13" t="s">
        <v>164</v>
      </c>
      <c r="F17" s="5" t="str">
        <f aca="false">IFERROR(INDEX(İller!$M$5:$M$85,MATCH(A17,İller!$B$5:$B$85,0)),"")</f>
        <v>Serhat Kalkınma Ajansı</v>
      </c>
    </row>
    <row r="18" customFormat="false" ht="15" hidden="false" customHeight="false" outlineLevel="0" collapsed="false">
      <c r="A18" s="4" t="s">
        <v>1058</v>
      </c>
      <c r="B18" s="13" t="n">
        <f aca="false">IFERROR(INDEX(İller!$C$5:$C$85,MATCH(A18,İller!$B$5:$B$85,0)),"")</f>
        <v>6</v>
      </c>
      <c r="C18" s="13" t="n">
        <v>2</v>
      </c>
      <c r="D18" s="5" t="s">
        <v>1542</v>
      </c>
      <c r="E18" s="13" t="s">
        <v>164</v>
      </c>
      <c r="F18" s="5" t="str">
        <f aca="false">IFERROR(INDEX(İller!$M$5:$M$85,MATCH(A18,İller!$B$5:$B$85,0)),"")</f>
        <v>Serhat Kalkınma Ajansı</v>
      </c>
    </row>
    <row r="19" customFormat="false" ht="15" hidden="false" customHeight="false" outlineLevel="0" collapsed="false">
      <c r="A19" s="4" t="s">
        <v>1058</v>
      </c>
      <c r="B19" s="13" t="n">
        <f aca="false">IFERROR(INDEX(İller!$C$5:$C$85,MATCH(A19,İller!$B$5:$B$85,0)),"")</f>
        <v>6</v>
      </c>
      <c r="C19" s="13" t="n">
        <v>3</v>
      </c>
      <c r="D19" s="5" t="s">
        <v>1060</v>
      </c>
      <c r="E19" s="13" t="s">
        <v>1006</v>
      </c>
      <c r="F19" s="5" t="str">
        <f aca="false">IFERROR(INDEX(İller!$M$5:$M$85,MATCH(A19,İller!$B$5:$B$85,0)),"")</f>
        <v>Serhat Kalkınma Ajansı</v>
      </c>
    </row>
    <row r="20" customFormat="false" ht="15" hidden="false" customHeight="false" outlineLevel="0" collapsed="false">
      <c r="A20" s="4" t="s">
        <v>1058</v>
      </c>
      <c r="B20" s="13" t="n">
        <f aca="false">IFERROR(INDEX(İller!$C$5:$C$85,MATCH(A20,İller!$B$5:$B$85,0)),"")</f>
        <v>6</v>
      </c>
      <c r="C20" s="13" t="n">
        <v>4</v>
      </c>
      <c r="D20" s="5" t="s">
        <v>1535</v>
      </c>
      <c r="E20" s="13" t="s">
        <v>164</v>
      </c>
      <c r="F20" s="5" t="str">
        <f aca="false">IFERROR(INDEX(İller!$M$5:$M$85,MATCH(A20,İller!$B$5:$B$85,0)),"")</f>
        <v>Serhat Kalkınma Ajansı</v>
      </c>
    </row>
    <row r="21" customFormat="false" ht="15" hidden="false" customHeight="false" outlineLevel="0" collapsed="false">
      <c r="A21" s="4" t="s">
        <v>1065</v>
      </c>
      <c r="B21" s="13" t="n">
        <f aca="false">IFERROR(INDEX(İller!$C$5:$C$85,MATCH(A21,İller!$B$5:$B$85,0)),"")</f>
        <v>4</v>
      </c>
      <c r="C21" s="13" t="n">
        <v>1</v>
      </c>
      <c r="D21" s="5" t="s">
        <v>1068</v>
      </c>
      <c r="E21" s="13" t="s">
        <v>1006</v>
      </c>
      <c r="F21" s="5" t="str">
        <f aca="false">IFERROR(INDEX(İller!$M$5:$M$85,MATCH(A21,İller!$B$5:$B$85,0)),"")</f>
        <v>Orta Karadeniz Kalkınma Ajansı</v>
      </c>
    </row>
    <row r="22" customFormat="false" ht="15" hidden="false" customHeight="false" outlineLevel="0" collapsed="false">
      <c r="A22" s="4" t="s">
        <v>1065</v>
      </c>
      <c r="B22" s="13" t="n">
        <f aca="false">IFERROR(INDEX(İller!$C$5:$C$85,MATCH(A22,İller!$B$5:$B$85,0)),"")</f>
        <v>4</v>
      </c>
      <c r="C22" s="13" t="n">
        <v>2</v>
      </c>
      <c r="D22" s="5" t="s">
        <v>1543</v>
      </c>
      <c r="E22" s="13" t="s">
        <v>164</v>
      </c>
      <c r="F22" s="5" t="str">
        <f aca="false">IFERROR(INDEX(İller!$M$5:$M$85,MATCH(A22,İller!$B$5:$B$85,0)),"")</f>
        <v>Orta Karadeniz Kalkınma Ajansı</v>
      </c>
    </row>
    <row r="23" customFormat="false" ht="15" hidden="false" customHeight="false" outlineLevel="0" collapsed="false">
      <c r="A23" s="4" t="s">
        <v>1065</v>
      </c>
      <c r="B23" s="13" t="n">
        <f aca="false">IFERROR(INDEX(İller!$C$5:$C$85,MATCH(A23,İller!$B$5:$B$85,0)),"")</f>
        <v>4</v>
      </c>
      <c r="C23" s="13" t="n">
        <v>3</v>
      </c>
      <c r="D23" s="5" t="s">
        <v>1544</v>
      </c>
      <c r="E23" s="13" t="s">
        <v>164</v>
      </c>
      <c r="F23" s="5" t="str">
        <f aca="false">IFERROR(INDEX(İller!$M$5:$M$85,MATCH(A23,İller!$B$5:$B$85,0)),"")</f>
        <v>Orta Karadeniz Kalkınma Ajansı</v>
      </c>
    </row>
    <row r="24" customFormat="false" ht="15" hidden="false" customHeight="false" outlineLevel="0" collapsed="false">
      <c r="A24" s="4" t="s">
        <v>1065</v>
      </c>
      <c r="B24" s="13" t="n">
        <f aca="false">IFERROR(INDEX(İller!$C$5:$C$85,MATCH(A24,İller!$B$5:$B$85,0)),"")</f>
        <v>4</v>
      </c>
      <c r="C24" s="13" t="n">
        <v>4</v>
      </c>
      <c r="D24" s="5" t="s">
        <v>1545</v>
      </c>
      <c r="E24" s="13" t="s">
        <v>164</v>
      </c>
      <c r="F24" s="5" t="str">
        <f aca="false">IFERROR(INDEX(İller!$M$5:$M$85,MATCH(A24,İller!$B$5:$B$85,0)),"")</f>
        <v>Orta Karadeniz Kalkınma Ajansı</v>
      </c>
    </row>
    <row r="25" customFormat="false" ht="15" hidden="false" customHeight="false" outlineLevel="0" collapsed="false">
      <c r="A25" s="4" t="s">
        <v>1074</v>
      </c>
      <c r="B25" s="13" t="n">
        <f aca="false">IFERROR(INDEX(İller!$C$5:$C$85,MATCH(A25,İller!$B$5:$B$85,0)),"")</f>
        <v>1</v>
      </c>
      <c r="C25" s="13" t="n">
        <v>1</v>
      </c>
      <c r="D25" s="5" t="s">
        <v>1546</v>
      </c>
      <c r="E25" s="13" t="s">
        <v>164</v>
      </c>
      <c r="F25" s="5" t="str">
        <f aca="false">IFERROR(INDEX(İller!$M$5:$M$85,MATCH(A25,İller!$B$5:$B$85,0)),"")</f>
        <v>Ankara Kalkınma Ajansı</v>
      </c>
    </row>
    <row r="26" customFormat="false" ht="15" hidden="false" customHeight="false" outlineLevel="0" collapsed="false">
      <c r="A26" s="4" t="s">
        <v>1074</v>
      </c>
      <c r="B26" s="13" t="n">
        <f aca="false">IFERROR(INDEX(İller!$C$5:$C$85,MATCH(A26,İller!$B$5:$B$85,0)),"")</f>
        <v>1</v>
      </c>
      <c r="C26" s="13" t="n">
        <v>2</v>
      </c>
      <c r="D26" s="5" t="s">
        <v>1547</v>
      </c>
      <c r="E26" s="13" t="s">
        <v>164</v>
      </c>
      <c r="F26" s="5" t="str">
        <f aca="false">IFERROR(INDEX(İller!$M$5:$M$85,MATCH(A26,İller!$B$5:$B$85,0)),"")</f>
        <v>Ankara Kalkınma Ajansı</v>
      </c>
    </row>
    <row r="27" customFormat="false" ht="15" hidden="false" customHeight="false" outlineLevel="0" collapsed="false">
      <c r="A27" s="4" t="s">
        <v>1074</v>
      </c>
      <c r="B27" s="13" t="n">
        <f aca="false">IFERROR(INDEX(İller!$C$5:$C$85,MATCH(A27,İller!$B$5:$B$85,0)),"")</f>
        <v>1</v>
      </c>
      <c r="C27" s="13" t="n">
        <v>3</v>
      </c>
      <c r="D27" s="5" t="s">
        <v>1548</v>
      </c>
      <c r="E27" s="13" t="s">
        <v>164</v>
      </c>
      <c r="F27" s="5" t="str">
        <f aca="false">IFERROR(INDEX(İller!$M$5:$M$85,MATCH(A27,İller!$B$5:$B$85,0)),"")</f>
        <v>Ankara Kalkınma Ajansı</v>
      </c>
    </row>
    <row r="28" customFormat="false" ht="15" hidden="false" customHeight="false" outlineLevel="0" collapsed="false">
      <c r="A28" s="4" t="s">
        <v>1074</v>
      </c>
      <c r="B28" s="13" t="n">
        <f aca="false">IFERROR(INDEX(İller!$C$5:$C$85,MATCH(A28,İller!$B$5:$B$85,0)),"")</f>
        <v>1</v>
      </c>
      <c r="C28" s="13" t="n">
        <v>4</v>
      </c>
      <c r="D28" s="5" t="s">
        <v>1549</v>
      </c>
      <c r="E28" s="13" t="s">
        <v>164</v>
      </c>
      <c r="F28" s="5" t="str">
        <f aca="false">IFERROR(INDEX(İller!$M$5:$M$85,MATCH(A28,İller!$B$5:$B$85,0)),"")</f>
        <v>Ankara Kalkınma Ajansı</v>
      </c>
    </row>
    <row r="29" customFormat="false" ht="15" hidden="false" customHeight="false" outlineLevel="0" collapsed="false">
      <c r="A29" s="4" t="s">
        <v>1083</v>
      </c>
      <c r="B29" s="13" t="n">
        <f aca="false">IFERROR(INDEX(İller!$C$5:$C$85,MATCH(A29,İller!$B$5:$B$85,0)),"")</f>
        <v>1</v>
      </c>
      <c r="C29" s="13" t="n">
        <v>1</v>
      </c>
      <c r="D29" s="5" t="s">
        <v>1550</v>
      </c>
      <c r="E29" s="13" t="s">
        <v>164</v>
      </c>
      <c r="F29" s="5" t="str">
        <f aca="false">IFERROR(INDEX(İller!$M$5:$M$85,MATCH(A29,İller!$B$5:$B$85,0)),"")</f>
        <v>Batı Akdeniz Kalkınma Ajansı</v>
      </c>
    </row>
    <row r="30" customFormat="false" ht="15" hidden="false" customHeight="false" outlineLevel="0" collapsed="false">
      <c r="A30" s="4" t="s">
        <v>1083</v>
      </c>
      <c r="B30" s="13" t="n">
        <f aca="false">IFERROR(INDEX(İller!$C$5:$C$85,MATCH(A30,İller!$B$5:$B$85,0)),"")</f>
        <v>1</v>
      </c>
      <c r="C30" s="13" t="n">
        <v>2</v>
      </c>
      <c r="D30" s="5" t="s">
        <v>1086</v>
      </c>
      <c r="E30" s="13" t="s">
        <v>1006</v>
      </c>
      <c r="F30" s="5" t="str">
        <f aca="false">IFERROR(INDEX(İller!$M$5:$M$85,MATCH(A30,İller!$B$5:$B$85,0)),"")</f>
        <v>Batı Akdeniz Kalkınma Ajansı</v>
      </c>
    </row>
    <row r="31" customFormat="false" ht="15" hidden="false" customHeight="false" outlineLevel="0" collapsed="false">
      <c r="A31" s="4" t="s">
        <v>1083</v>
      </c>
      <c r="B31" s="13" t="n">
        <f aca="false">IFERROR(INDEX(İller!$C$5:$C$85,MATCH(A31,İller!$B$5:$B$85,0)),"")</f>
        <v>1</v>
      </c>
      <c r="C31" s="13" t="n">
        <v>3</v>
      </c>
      <c r="D31" s="5" t="s">
        <v>1551</v>
      </c>
      <c r="E31" s="13" t="s">
        <v>164</v>
      </c>
      <c r="F31" s="5" t="str">
        <f aca="false">IFERROR(INDEX(İller!$M$5:$M$85,MATCH(A31,İller!$B$5:$B$85,0)),"")</f>
        <v>Batı Akdeniz Kalkınma Ajansı</v>
      </c>
    </row>
    <row r="32" customFormat="false" ht="15" hidden="false" customHeight="false" outlineLevel="0" collapsed="false">
      <c r="A32" s="4" t="s">
        <v>1083</v>
      </c>
      <c r="B32" s="13" t="n">
        <f aca="false">IFERROR(INDEX(İller!$C$5:$C$85,MATCH(A32,İller!$B$5:$B$85,0)),"")</f>
        <v>1</v>
      </c>
      <c r="C32" s="13" t="n">
        <v>4</v>
      </c>
      <c r="D32" s="5" t="s">
        <v>1552</v>
      </c>
      <c r="E32" s="13" t="s">
        <v>164</v>
      </c>
      <c r="F32" s="5" t="str">
        <f aca="false">IFERROR(INDEX(İller!$M$5:$M$85,MATCH(A32,İller!$B$5:$B$85,0)),"")</f>
        <v>Batı Akdeniz Kalkınma Ajansı</v>
      </c>
    </row>
    <row r="33" customFormat="false" ht="15" hidden="false" customHeight="false" outlineLevel="0" collapsed="false">
      <c r="A33" s="4" t="s">
        <v>1092</v>
      </c>
      <c r="B33" s="13" t="n">
        <f aca="false">IFERROR(INDEX(İller!$C$5:$C$85,MATCH(A33,İller!$B$5:$B$85,0)),"")</f>
        <v>4</v>
      </c>
      <c r="C33" s="13" t="n">
        <v>1</v>
      </c>
      <c r="D33" s="5" t="s">
        <v>1553</v>
      </c>
      <c r="E33" s="13" t="s">
        <v>164</v>
      </c>
      <c r="F33" s="5" t="str">
        <f aca="false">IFERROR(INDEX(İller!$M$5:$M$85,MATCH(A33,İller!$B$5:$B$85,0)),"")</f>
        <v>Doğu Karadeniz Kalkınma Ajansı</v>
      </c>
    </row>
    <row r="34" customFormat="false" ht="15" hidden="false" customHeight="false" outlineLevel="0" collapsed="false">
      <c r="A34" s="4" t="s">
        <v>1092</v>
      </c>
      <c r="B34" s="13" t="n">
        <f aca="false">IFERROR(INDEX(İller!$C$5:$C$85,MATCH(A34,İller!$B$5:$B$85,0)),"")</f>
        <v>4</v>
      </c>
      <c r="C34" s="13" t="n">
        <v>2</v>
      </c>
      <c r="D34" s="5" t="s">
        <v>1554</v>
      </c>
      <c r="E34" s="13" t="s">
        <v>164</v>
      </c>
      <c r="F34" s="5" t="str">
        <f aca="false">IFERROR(INDEX(İller!$M$5:$M$85,MATCH(A34,İller!$B$5:$B$85,0)),"")</f>
        <v>Doğu Karadeniz Kalkınma Ajansı</v>
      </c>
    </row>
    <row r="35" customFormat="false" ht="15" hidden="false" customHeight="false" outlineLevel="0" collapsed="false">
      <c r="A35" s="4" t="s">
        <v>1092</v>
      </c>
      <c r="B35" s="13" t="n">
        <f aca="false">IFERROR(INDEX(İller!$C$5:$C$85,MATCH(A35,İller!$B$5:$B$85,0)),"")</f>
        <v>4</v>
      </c>
      <c r="C35" s="13" t="n">
        <v>3</v>
      </c>
      <c r="D35" s="5" t="s">
        <v>1533</v>
      </c>
      <c r="E35" s="13" t="s">
        <v>164</v>
      </c>
      <c r="F35" s="5" t="str">
        <f aca="false">IFERROR(INDEX(İller!$M$5:$M$85,MATCH(A35,İller!$B$5:$B$85,0)),"")</f>
        <v>Doğu Karadeniz Kalkınma Ajansı</v>
      </c>
    </row>
    <row r="36" customFormat="false" ht="15" hidden="false" customHeight="false" outlineLevel="0" collapsed="false">
      <c r="A36" s="4" t="s">
        <v>1092</v>
      </c>
      <c r="B36" s="13" t="n">
        <f aca="false">IFERROR(INDEX(İller!$C$5:$C$85,MATCH(A36,İller!$B$5:$B$85,0)),"")</f>
        <v>4</v>
      </c>
      <c r="C36" s="13" t="n">
        <v>4</v>
      </c>
      <c r="D36" s="5" t="s">
        <v>1550</v>
      </c>
      <c r="E36" s="13" t="s">
        <v>164</v>
      </c>
      <c r="F36" s="5" t="str">
        <f aca="false">IFERROR(INDEX(İller!$M$5:$M$85,MATCH(A36,İller!$B$5:$B$85,0)),"")</f>
        <v>Doğu Karadeniz Kalkınma Ajansı</v>
      </c>
    </row>
    <row r="37" customFormat="false" ht="15" hidden="false" customHeight="false" outlineLevel="0" collapsed="false">
      <c r="A37" s="4" t="s">
        <v>1098</v>
      </c>
      <c r="B37" s="13" t="n">
        <f aca="false">IFERROR(INDEX(İller!$C$5:$C$85,MATCH(A37,İller!$B$5:$B$85,0)),"")</f>
        <v>2</v>
      </c>
      <c r="C37" s="13" t="n">
        <v>1</v>
      </c>
      <c r="D37" s="5" t="s">
        <v>1555</v>
      </c>
      <c r="E37" s="13" t="s">
        <v>164</v>
      </c>
      <c r="F37" s="5" t="str">
        <f aca="false">IFERROR(INDEX(İller!$M$5:$M$85,MATCH(A37,İller!$B$5:$B$85,0)),"")</f>
        <v>Güney Ege Kalkınma Ajansı</v>
      </c>
    </row>
    <row r="38" customFormat="false" ht="15" hidden="false" customHeight="false" outlineLevel="0" collapsed="false">
      <c r="A38" s="4" t="s">
        <v>1098</v>
      </c>
      <c r="B38" s="13" t="n">
        <f aca="false">IFERROR(INDEX(İller!$C$5:$C$85,MATCH(A38,İller!$B$5:$B$85,0)),"")</f>
        <v>2</v>
      </c>
      <c r="C38" s="13" t="n">
        <v>2</v>
      </c>
      <c r="D38" s="5" t="s">
        <v>1541</v>
      </c>
      <c r="E38" s="13" t="s">
        <v>164</v>
      </c>
      <c r="F38" s="5" t="str">
        <f aca="false">IFERROR(INDEX(İller!$M$5:$M$85,MATCH(A38,İller!$B$5:$B$85,0)),"")</f>
        <v>Güney Ege Kalkınma Ajansı</v>
      </c>
    </row>
    <row r="39" customFormat="false" ht="15" hidden="false" customHeight="false" outlineLevel="0" collapsed="false">
      <c r="A39" s="4" t="s">
        <v>1098</v>
      </c>
      <c r="B39" s="13" t="n">
        <f aca="false">IFERROR(INDEX(İller!$C$5:$C$85,MATCH(A39,İller!$B$5:$B$85,0)),"")</f>
        <v>2</v>
      </c>
      <c r="C39" s="13" t="n">
        <v>3</v>
      </c>
      <c r="D39" s="5" t="s">
        <v>1556</v>
      </c>
      <c r="E39" s="13" t="s">
        <v>164</v>
      </c>
      <c r="F39" s="5" t="str">
        <f aca="false">IFERROR(INDEX(İller!$M$5:$M$85,MATCH(A39,İller!$B$5:$B$85,0)),"")</f>
        <v>Güney Ege Kalkınma Ajansı</v>
      </c>
    </row>
    <row r="40" customFormat="false" ht="15" hidden="false" customHeight="false" outlineLevel="0" collapsed="false">
      <c r="A40" s="4" t="s">
        <v>1098</v>
      </c>
      <c r="B40" s="13" t="n">
        <f aca="false">IFERROR(INDEX(İller!$C$5:$C$85,MATCH(A40,İller!$B$5:$B$85,0)),"")</f>
        <v>2</v>
      </c>
      <c r="C40" s="13" t="n">
        <v>4</v>
      </c>
      <c r="D40" s="5" t="s">
        <v>1557</v>
      </c>
      <c r="E40" s="13" t="s">
        <v>164</v>
      </c>
      <c r="F40" s="5" t="str">
        <f aca="false">IFERROR(INDEX(İller!$M$5:$M$85,MATCH(A40,İller!$B$5:$B$85,0)),"")</f>
        <v>Güney Ege Kalkınma Ajansı</v>
      </c>
    </row>
    <row r="41" customFormat="false" ht="15" hidden="false" customHeight="false" outlineLevel="0" collapsed="false">
      <c r="A41" s="4" t="s">
        <v>1106</v>
      </c>
      <c r="B41" s="13" t="n">
        <f aca="false">IFERROR(INDEX(İller!$C$5:$C$85,MATCH(A41,İller!$B$5:$B$85,0)),"")</f>
        <v>2</v>
      </c>
      <c r="C41" s="13" t="n">
        <v>1</v>
      </c>
      <c r="D41" s="5" t="s">
        <v>1068</v>
      </c>
      <c r="E41" s="13" t="s">
        <v>1006</v>
      </c>
      <c r="F41" s="5" t="str">
        <f aca="false">IFERROR(INDEX(İller!$M$5:$M$85,MATCH(A41,İller!$B$5:$B$85,0)),"")</f>
        <v>Güney Marmara Kalkınma Ajansı</v>
      </c>
    </row>
    <row r="42" customFormat="false" ht="15" hidden="false" customHeight="false" outlineLevel="0" collapsed="false">
      <c r="A42" s="4" t="s">
        <v>1106</v>
      </c>
      <c r="B42" s="13" t="n">
        <f aca="false">IFERROR(INDEX(İller!$C$5:$C$85,MATCH(A42,İller!$B$5:$B$85,0)),"")</f>
        <v>2</v>
      </c>
      <c r="C42" s="13" t="n">
        <v>2</v>
      </c>
      <c r="D42" s="5" t="s">
        <v>1558</v>
      </c>
      <c r="E42" s="13" t="s">
        <v>164</v>
      </c>
      <c r="F42" s="5" t="str">
        <f aca="false">IFERROR(INDEX(İller!$M$5:$M$85,MATCH(A42,İller!$B$5:$B$85,0)),"")</f>
        <v>Güney Marmara Kalkınma Ajansı</v>
      </c>
    </row>
    <row r="43" customFormat="false" ht="15" hidden="false" customHeight="false" outlineLevel="0" collapsed="false">
      <c r="A43" s="4" t="s">
        <v>1106</v>
      </c>
      <c r="B43" s="13" t="n">
        <f aca="false">IFERROR(INDEX(İller!$C$5:$C$85,MATCH(A43,İller!$B$5:$B$85,0)),"")</f>
        <v>2</v>
      </c>
      <c r="C43" s="13" t="n">
        <v>3</v>
      </c>
      <c r="D43" s="5" t="s">
        <v>1559</v>
      </c>
      <c r="E43" s="13" t="s">
        <v>164</v>
      </c>
      <c r="F43" s="5" t="str">
        <f aca="false">IFERROR(INDEX(İller!$M$5:$M$85,MATCH(A43,İller!$B$5:$B$85,0)),"")</f>
        <v>Güney Marmara Kalkınma Ajansı</v>
      </c>
    </row>
    <row r="44" customFormat="false" ht="15" hidden="false" customHeight="false" outlineLevel="0" collapsed="false">
      <c r="A44" s="4" t="s">
        <v>1106</v>
      </c>
      <c r="B44" s="13" t="n">
        <f aca="false">IFERROR(INDEX(İller!$C$5:$C$85,MATCH(A44,İller!$B$5:$B$85,0)),"")</f>
        <v>2</v>
      </c>
      <c r="C44" s="13" t="n">
        <v>4</v>
      </c>
      <c r="D44" s="5" t="s">
        <v>1560</v>
      </c>
      <c r="E44" s="13" t="s">
        <v>164</v>
      </c>
      <c r="F44" s="5" t="str">
        <f aca="false">IFERROR(INDEX(İller!$M$5:$M$85,MATCH(A44,İller!$B$5:$B$85,0)),"")</f>
        <v>Güney Marmara Kalkınma Ajansı</v>
      </c>
    </row>
    <row r="45" customFormat="false" ht="15" hidden="false" customHeight="false" outlineLevel="0" collapsed="false">
      <c r="A45" s="4" t="s">
        <v>1113</v>
      </c>
      <c r="B45" s="13" t="n">
        <f aca="false">IFERROR(INDEX(İller!$C$5:$C$85,MATCH(A45,İller!$B$5:$B$85,0)),"")</f>
        <v>3</v>
      </c>
      <c r="C45" s="13" t="n">
        <v>1</v>
      </c>
      <c r="D45" s="5" t="s">
        <v>1542</v>
      </c>
      <c r="E45" s="13" t="s">
        <v>164</v>
      </c>
      <c r="F45" s="5" t="str">
        <f aca="false">IFERROR(INDEX(İller!$M$5:$M$85,MATCH(A45,İller!$B$5:$B$85,0)),"")</f>
        <v>Bursa Eskişehir Bilecik Kalkınma Ajansı</v>
      </c>
    </row>
    <row r="46" customFormat="false" ht="15" hidden="false" customHeight="false" outlineLevel="0" collapsed="false">
      <c r="A46" s="4" t="s">
        <v>1113</v>
      </c>
      <c r="B46" s="13" t="n">
        <f aca="false">IFERROR(INDEX(İller!$C$5:$C$85,MATCH(A46,İller!$B$5:$B$85,0)),"")</f>
        <v>3</v>
      </c>
      <c r="C46" s="13" t="n">
        <v>2</v>
      </c>
      <c r="D46" s="5" t="s">
        <v>1540</v>
      </c>
      <c r="E46" s="13" t="s">
        <v>164</v>
      </c>
      <c r="F46" s="5" t="str">
        <f aca="false">IFERROR(INDEX(İller!$M$5:$M$85,MATCH(A46,İller!$B$5:$B$85,0)),"")</f>
        <v>Bursa Eskişehir Bilecik Kalkınma Ajansı</v>
      </c>
    </row>
    <row r="47" customFormat="false" ht="15" hidden="false" customHeight="false" outlineLevel="0" collapsed="false">
      <c r="A47" s="4" t="s">
        <v>1113</v>
      </c>
      <c r="B47" s="13" t="n">
        <f aca="false">IFERROR(INDEX(İller!$C$5:$C$85,MATCH(A47,İller!$B$5:$B$85,0)),"")</f>
        <v>3</v>
      </c>
      <c r="C47" s="13" t="n">
        <v>3</v>
      </c>
      <c r="D47" s="5" t="s">
        <v>1561</v>
      </c>
      <c r="E47" s="13" t="s">
        <v>164</v>
      </c>
      <c r="F47" s="5" t="str">
        <f aca="false">IFERROR(INDEX(İller!$M$5:$M$85,MATCH(A47,İller!$B$5:$B$85,0)),"")</f>
        <v>Bursa Eskişehir Bilecik Kalkınma Ajansı</v>
      </c>
    </row>
    <row r="48" customFormat="false" ht="15" hidden="false" customHeight="false" outlineLevel="0" collapsed="false">
      <c r="A48" s="4" t="s">
        <v>1113</v>
      </c>
      <c r="B48" s="13" t="n">
        <f aca="false">IFERROR(INDEX(İller!$C$5:$C$85,MATCH(A48,İller!$B$5:$B$85,0)),"")</f>
        <v>3</v>
      </c>
      <c r="C48" s="13" t="n">
        <v>4</v>
      </c>
      <c r="D48" s="5" t="s">
        <v>1562</v>
      </c>
      <c r="E48" s="13" t="s">
        <v>164</v>
      </c>
      <c r="F48" s="5" t="str">
        <f aca="false">IFERROR(INDEX(İller!$M$5:$M$85,MATCH(A48,İller!$B$5:$B$85,0)),"")</f>
        <v>Bursa Eskişehir Bilecik Kalkınma Ajansı</v>
      </c>
    </row>
    <row r="49" customFormat="false" ht="15" hidden="false" customHeight="false" outlineLevel="0" collapsed="false">
      <c r="A49" s="4" t="s">
        <v>1119</v>
      </c>
      <c r="B49" s="13" t="n">
        <f aca="false">IFERROR(INDEX(İller!$C$5:$C$85,MATCH(A49,İller!$B$5:$B$85,0)),"")</f>
        <v>6</v>
      </c>
      <c r="C49" s="13" t="n">
        <v>1</v>
      </c>
      <c r="D49" s="5" t="s">
        <v>1535</v>
      </c>
      <c r="E49" s="13" t="s">
        <v>164</v>
      </c>
      <c r="F49" s="5" t="str">
        <f aca="false">IFERROR(INDEX(İller!$M$5:$M$85,MATCH(A49,İller!$B$5:$B$85,0)),"")</f>
        <v>Fırat Kalkınma Ajansı</v>
      </c>
    </row>
    <row r="50" customFormat="false" ht="15" hidden="false" customHeight="false" outlineLevel="0" collapsed="false">
      <c r="A50" s="4" t="s">
        <v>1119</v>
      </c>
      <c r="B50" s="13" t="n">
        <f aca="false">IFERROR(INDEX(İller!$C$5:$C$85,MATCH(A50,İller!$B$5:$B$85,0)),"")</f>
        <v>6</v>
      </c>
      <c r="C50" s="13" t="n">
        <v>2</v>
      </c>
      <c r="D50" s="5" t="s">
        <v>1563</v>
      </c>
      <c r="E50" s="13" t="s">
        <v>164</v>
      </c>
      <c r="F50" s="5" t="str">
        <f aca="false">IFERROR(INDEX(İller!$M$5:$M$85,MATCH(A50,İller!$B$5:$B$85,0)),"")</f>
        <v>Fırat Kalkınma Ajansı</v>
      </c>
    </row>
    <row r="51" customFormat="false" ht="15" hidden="false" customHeight="false" outlineLevel="0" collapsed="false">
      <c r="A51" s="4" t="s">
        <v>1119</v>
      </c>
      <c r="B51" s="13" t="n">
        <f aca="false">IFERROR(INDEX(İller!$C$5:$C$85,MATCH(A51,İller!$B$5:$B$85,0)),"")</f>
        <v>6</v>
      </c>
      <c r="C51" s="13" t="n">
        <v>3</v>
      </c>
      <c r="D51" s="5" t="s">
        <v>1564</v>
      </c>
      <c r="E51" s="13" t="s">
        <v>164</v>
      </c>
      <c r="F51" s="5" t="str">
        <f aca="false">IFERROR(INDEX(İller!$M$5:$M$85,MATCH(A51,İller!$B$5:$B$85,0)),"")</f>
        <v>Fırat Kalkınma Ajansı</v>
      </c>
    </row>
    <row r="52" customFormat="false" ht="15" hidden="false" customHeight="false" outlineLevel="0" collapsed="false">
      <c r="A52" s="4" t="s">
        <v>1119</v>
      </c>
      <c r="B52" s="13" t="n">
        <f aca="false">IFERROR(INDEX(İller!$C$5:$C$85,MATCH(A52,İller!$B$5:$B$85,0)),"")</f>
        <v>6</v>
      </c>
      <c r="C52" s="13" t="n">
        <v>4</v>
      </c>
      <c r="D52" s="5" t="s">
        <v>1533</v>
      </c>
      <c r="E52" s="13" t="s">
        <v>164</v>
      </c>
      <c r="F52" s="5" t="str">
        <f aca="false">IFERROR(INDEX(İller!$M$5:$M$85,MATCH(A52,İller!$B$5:$B$85,0)),"")</f>
        <v>Fırat Kalkınma Ajansı</v>
      </c>
    </row>
    <row r="53" customFormat="false" ht="15" hidden="false" customHeight="false" outlineLevel="0" collapsed="false">
      <c r="A53" s="4" t="s">
        <v>1126</v>
      </c>
      <c r="B53" s="13" t="n">
        <f aca="false">IFERROR(INDEX(İller!$C$5:$C$85,MATCH(A53,İller!$B$5:$B$85,0)),"")</f>
        <v>6</v>
      </c>
      <c r="C53" s="13" t="n">
        <v>1</v>
      </c>
      <c r="D53" s="5" t="s">
        <v>1565</v>
      </c>
      <c r="E53" s="13" t="s">
        <v>164</v>
      </c>
      <c r="F53" s="5" t="str">
        <f aca="false">IFERROR(INDEX(İller!$M$5:$M$85,MATCH(A53,İller!$B$5:$B$85,0)),"")</f>
        <v>Doğu Anadolu Kalkınma Ajansı</v>
      </c>
    </row>
    <row r="54" customFormat="false" ht="15" hidden="false" customHeight="false" outlineLevel="0" collapsed="false">
      <c r="A54" s="4" t="s">
        <v>1126</v>
      </c>
      <c r="B54" s="13" t="n">
        <f aca="false">IFERROR(INDEX(İller!$C$5:$C$85,MATCH(A54,İller!$B$5:$B$85,0)),"")</f>
        <v>6</v>
      </c>
      <c r="C54" s="13" t="n">
        <v>2</v>
      </c>
      <c r="D54" s="5" t="s">
        <v>1537</v>
      </c>
      <c r="E54" s="13" t="s">
        <v>164</v>
      </c>
      <c r="F54" s="5" t="str">
        <f aca="false">IFERROR(INDEX(İller!$M$5:$M$85,MATCH(A54,İller!$B$5:$B$85,0)),"")</f>
        <v>Doğu Anadolu Kalkınma Ajansı</v>
      </c>
    </row>
    <row r="55" customFormat="false" ht="15" hidden="false" customHeight="false" outlineLevel="0" collapsed="false">
      <c r="A55" s="4" t="s">
        <v>1126</v>
      </c>
      <c r="B55" s="13" t="n">
        <f aca="false">IFERROR(INDEX(İller!$C$5:$C$85,MATCH(A55,İller!$B$5:$B$85,0)),"")</f>
        <v>6</v>
      </c>
      <c r="C55" s="13" t="n">
        <v>3</v>
      </c>
      <c r="D55" s="5" t="s">
        <v>1566</v>
      </c>
      <c r="E55" s="13" t="s">
        <v>164</v>
      </c>
      <c r="F55" s="5" t="str">
        <f aca="false">IFERROR(INDEX(İller!$M$5:$M$85,MATCH(A55,İller!$B$5:$B$85,0)),"")</f>
        <v>Doğu Anadolu Kalkınma Ajansı</v>
      </c>
    </row>
    <row r="56" customFormat="false" ht="15" hidden="false" customHeight="false" outlineLevel="0" collapsed="false">
      <c r="A56" s="4" t="s">
        <v>1126</v>
      </c>
      <c r="B56" s="13" t="n">
        <f aca="false">IFERROR(INDEX(İller!$C$5:$C$85,MATCH(A56,İller!$B$5:$B$85,0)),"")</f>
        <v>6</v>
      </c>
      <c r="C56" s="13" t="n">
        <v>4</v>
      </c>
      <c r="D56" s="5" t="s">
        <v>1567</v>
      </c>
      <c r="E56" s="13" t="s">
        <v>164</v>
      </c>
      <c r="F56" s="5" t="str">
        <f aca="false">IFERROR(INDEX(İller!$M$5:$M$85,MATCH(A56,İller!$B$5:$B$85,0)),"")</f>
        <v>Doğu Anadolu Kalkınma Ajansı</v>
      </c>
    </row>
    <row r="57" customFormat="false" ht="15" hidden="false" customHeight="false" outlineLevel="0" collapsed="false">
      <c r="A57" s="4" t="s">
        <v>1132</v>
      </c>
      <c r="B57" s="13" t="n">
        <f aca="false">IFERROR(INDEX(İller!$C$5:$C$85,MATCH(A57,İller!$B$5:$B$85,0)),"")</f>
        <v>2</v>
      </c>
      <c r="C57" s="13" t="n">
        <v>1</v>
      </c>
      <c r="D57" s="5" t="s">
        <v>1553</v>
      </c>
      <c r="E57" s="13" t="s">
        <v>164</v>
      </c>
      <c r="F57" s="5" t="str">
        <f aca="false">IFERROR(INDEX(İller!$M$5:$M$85,MATCH(A57,İller!$B$5:$B$85,0)),"")</f>
        <v>Doğu Marmara Kalkınma Ajansı</v>
      </c>
    </row>
    <row r="58" customFormat="false" ht="15" hidden="false" customHeight="false" outlineLevel="0" collapsed="false">
      <c r="A58" s="4" t="s">
        <v>1132</v>
      </c>
      <c r="B58" s="13" t="n">
        <f aca="false">IFERROR(INDEX(İller!$C$5:$C$85,MATCH(A58,İller!$B$5:$B$85,0)),"")</f>
        <v>2</v>
      </c>
      <c r="C58" s="13" t="n">
        <v>2</v>
      </c>
      <c r="D58" s="5" t="s">
        <v>1568</v>
      </c>
      <c r="E58" s="13" t="s">
        <v>164</v>
      </c>
      <c r="F58" s="5" t="str">
        <f aca="false">IFERROR(INDEX(İller!$M$5:$M$85,MATCH(A58,İller!$B$5:$B$85,0)),"")</f>
        <v>Doğu Marmara Kalkınma Ajansı</v>
      </c>
    </row>
    <row r="59" customFormat="false" ht="15" hidden="false" customHeight="false" outlineLevel="0" collapsed="false">
      <c r="A59" s="4" t="s">
        <v>1132</v>
      </c>
      <c r="B59" s="13" t="n">
        <f aca="false">IFERROR(INDEX(İller!$C$5:$C$85,MATCH(A59,İller!$B$5:$B$85,0)),"")</f>
        <v>2</v>
      </c>
      <c r="C59" s="13" t="n">
        <v>3</v>
      </c>
      <c r="D59" s="5" t="s">
        <v>1554</v>
      </c>
      <c r="E59" s="13" t="s">
        <v>164</v>
      </c>
      <c r="F59" s="5" t="str">
        <f aca="false">IFERROR(INDEX(İller!$M$5:$M$85,MATCH(A59,İller!$B$5:$B$85,0)),"")</f>
        <v>Doğu Marmara Kalkınma Ajansı</v>
      </c>
    </row>
    <row r="60" customFormat="false" ht="15" hidden="false" customHeight="false" outlineLevel="0" collapsed="false">
      <c r="A60" s="4" t="s">
        <v>1132</v>
      </c>
      <c r="B60" s="13" t="n">
        <f aca="false">IFERROR(INDEX(İller!$C$5:$C$85,MATCH(A60,İller!$B$5:$B$85,0)),"")</f>
        <v>2</v>
      </c>
      <c r="C60" s="13" t="n">
        <v>4</v>
      </c>
      <c r="D60" s="5" t="s">
        <v>1569</v>
      </c>
      <c r="E60" s="13" t="s">
        <v>164</v>
      </c>
      <c r="F60" s="5" t="str">
        <f aca="false">IFERROR(INDEX(İller!$M$5:$M$85,MATCH(A60,İller!$B$5:$B$85,0)),"")</f>
        <v>Doğu Marmara Kalkınma Ajansı</v>
      </c>
    </row>
    <row r="61" customFormat="false" ht="15" hidden="false" customHeight="false" outlineLevel="0" collapsed="false">
      <c r="A61" s="4" t="s">
        <v>1138</v>
      </c>
      <c r="B61" s="13" t="n">
        <f aca="false">IFERROR(INDEX(İller!$C$5:$C$85,MATCH(A61,İller!$B$5:$B$85,0)),"")</f>
        <v>3</v>
      </c>
      <c r="C61" s="13" t="n">
        <v>1</v>
      </c>
      <c r="D61" s="5" t="s">
        <v>1553</v>
      </c>
      <c r="E61" s="13" t="s">
        <v>164</v>
      </c>
      <c r="F61" s="5" t="str">
        <f aca="false">IFERROR(INDEX(İller!$M$5:$M$85,MATCH(A61,İller!$B$5:$B$85,0)),"")</f>
        <v>Batı Akdeniz Kalkınma Ajansı</v>
      </c>
    </row>
    <row r="62" customFormat="false" ht="15" hidden="false" customHeight="false" outlineLevel="0" collapsed="false">
      <c r="A62" s="4" t="s">
        <v>1138</v>
      </c>
      <c r="B62" s="13" t="n">
        <f aca="false">IFERROR(INDEX(İller!$C$5:$C$85,MATCH(A62,İller!$B$5:$B$85,0)),"")</f>
        <v>3</v>
      </c>
      <c r="C62" s="13" t="n">
        <v>2</v>
      </c>
      <c r="D62" s="5" t="s">
        <v>1570</v>
      </c>
      <c r="E62" s="13" t="s">
        <v>164</v>
      </c>
      <c r="F62" s="5" t="str">
        <f aca="false">IFERROR(INDEX(İller!$M$5:$M$85,MATCH(A62,İller!$B$5:$B$85,0)),"")</f>
        <v>Batı Akdeniz Kalkınma Ajansı</v>
      </c>
    </row>
    <row r="63" customFormat="false" ht="15" hidden="false" customHeight="false" outlineLevel="0" collapsed="false">
      <c r="A63" s="4" t="s">
        <v>1138</v>
      </c>
      <c r="B63" s="13" t="n">
        <f aca="false">IFERROR(INDEX(İller!$C$5:$C$85,MATCH(A63,İller!$B$5:$B$85,0)),"")</f>
        <v>3</v>
      </c>
      <c r="C63" s="13" t="n">
        <v>3</v>
      </c>
      <c r="D63" s="5" t="s">
        <v>1540</v>
      </c>
      <c r="E63" s="13" t="s">
        <v>164</v>
      </c>
      <c r="F63" s="5" t="str">
        <f aca="false">IFERROR(INDEX(İller!$M$5:$M$85,MATCH(A63,İller!$B$5:$B$85,0)),"")</f>
        <v>Batı Akdeniz Kalkınma Ajansı</v>
      </c>
    </row>
    <row r="64" customFormat="false" ht="15" hidden="false" customHeight="false" outlineLevel="0" collapsed="false">
      <c r="A64" s="4" t="s">
        <v>1138</v>
      </c>
      <c r="B64" s="13" t="n">
        <f aca="false">IFERROR(INDEX(İller!$C$5:$C$85,MATCH(A64,İller!$B$5:$B$85,0)),"")</f>
        <v>3</v>
      </c>
      <c r="C64" s="13" t="n">
        <v>4</v>
      </c>
      <c r="D64" s="5" t="s">
        <v>1557</v>
      </c>
      <c r="E64" s="13" t="s">
        <v>164</v>
      </c>
      <c r="F64" s="5" t="str">
        <f aca="false">IFERROR(INDEX(İller!$M$5:$M$85,MATCH(A64,İller!$B$5:$B$85,0)),"")</f>
        <v>Batı Akdeniz Kalkınma Ajansı</v>
      </c>
    </row>
    <row r="65" customFormat="false" ht="15" hidden="false" customHeight="false" outlineLevel="0" collapsed="false">
      <c r="A65" s="4" t="s">
        <v>1144</v>
      </c>
      <c r="B65" s="13" t="n">
        <f aca="false">IFERROR(INDEX(İller!$C$5:$C$85,MATCH(A65,İller!$B$5:$B$85,0)),"")</f>
        <v>1</v>
      </c>
      <c r="C65" s="13" t="n">
        <v>1</v>
      </c>
      <c r="D65" s="5" t="s">
        <v>1571</v>
      </c>
      <c r="E65" s="13" t="s">
        <v>164</v>
      </c>
      <c r="F65" s="5" t="str">
        <f aca="false">IFERROR(INDEX(İller!$M$5:$M$85,MATCH(A65,İller!$B$5:$B$85,0)),"")</f>
        <v>Bursa Eskişehir Bilecik Kalkınma Ajansı</v>
      </c>
    </row>
    <row r="66" customFormat="false" ht="15" hidden="false" customHeight="false" outlineLevel="0" collapsed="false">
      <c r="A66" s="4" t="s">
        <v>1144</v>
      </c>
      <c r="B66" s="13" t="n">
        <f aca="false">IFERROR(INDEX(İller!$C$5:$C$85,MATCH(A66,İller!$B$5:$B$85,0)),"")</f>
        <v>1</v>
      </c>
      <c r="C66" s="13" t="n">
        <v>2</v>
      </c>
      <c r="D66" s="5" t="s">
        <v>1572</v>
      </c>
      <c r="E66" s="13" t="s">
        <v>164</v>
      </c>
      <c r="F66" s="5" t="str">
        <f aca="false">IFERROR(INDEX(İller!$M$5:$M$85,MATCH(A66,İller!$B$5:$B$85,0)),"")</f>
        <v>Bursa Eskişehir Bilecik Kalkınma Ajansı</v>
      </c>
    </row>
    <row r="67" customFormat="false" ht="15" hidden="false" customHeight="false" outlineLevel="0" collapsed="false">
      <c r="A67" s="4" t="s">
        <v>1144</v>
      </c>
      <c r="B67" s="13" t="n">
        <f aca="false">IFERROR(INDEX(İller!$C$5:$C$85,MATCH(A67,İller!$B$5:$B$85,0)),"")</f>
        <v>1</v>
      </c>
      <c r="C67" s="13" t="n">
        <v>3</v>
      </c>
      <c r="D67" s="5" t="s">
        <v>1573</v>
      </c>
      <c r="E67" s="13" t="s">
        <v>164</v>
      </c>
      <c r="F67" s="5" t="str">
        <f aca="false">IFERROR(INDEX(İller!$M$5:$M$85,MATCH(A67,İller!$B$5:$B$85,0)),"")</f>
        <v>Bursa Eskişehir Bilecik Kalkınma Ajansı</v>
      </c>
    </row>
    <row r="68" customFormat="false" ht="15" hidden="false" customHeight="false" outlineLevel="0" collapsed="false">
      <c r="A68" s="4" t="s">
        <v>1144</v>
      </c>
      <c r="B68" s="13" t="n">
        <f aca="false">IFERROR(INDEX(İller!$C$5:$C$85,MATCH(A68,İller!$B$5:$B$85,0)),"")</f>
        <v>1</v>
      </c>
      <c r="C68" s="13" t="n">
        <v>4</v>
      </c>
      <c r="D68" s="5" t="s">
        <v>1574</v>
      </c>
      <c r="E68" s="13" t="s">
        <v>164</v>
      </c>
      <c r="F68" s="5" t="str">
        <f aca="false">IFERROR(INDEX(İller!$M$5:$M$85,MATCH(A68,İller!$B$5:$B$85,0)),"")</f>
        <v>Bursa Eskişehir Bilecik Kalkınma Ajansı</v>
      </c>
    </row>
    <row r="69" customFormat="false" ht="15" hidden="false" customHeight="false" outlineLevel="0" collapsed="false">
      <c r="A69" s="4" t="s">
        <v>1149</v>
      </c>
      <c r="B69" s="13" t="n">
        <f aca="false">IFERROR(INDEX(İller!$C$5:$C$85,MATCH(A69,İller!$B$5:$B$85,0)),"")</f>
        <v>2</v>
      </c>
      <c r="C69" s="13" t="n">
        <v>1</v>
      </c>
      <c r="D69" s="5" t="s">
        <v>1553</v>
      </c>
      <c r="E69" s="13" t="s">
        <v>164</v>
      </c>
      <c r="F69" s="5" t="str">
        <f aca="false">IFERROR(INDEX(İller!$M$5:$M$85,MATCH(A69,İller!$B$5:$B$85,0)),"")</f>
        <v>Güney Marmara Kalkınma Ajansı</v>
      </c>
    </row>
    <row r="70" customFormat="false" ht="15" hidden="false" customHeight="false" outlineLevel="0" collapsed="false">
      <c r="A70" s="4" t="s">
        <v>1149</v>
      </c>
      <c r="B70" s="13" t="n">
        <f aca="false">IFERROR(INDEX(İller!$C$5:$C$85,MATCH(A70,İller!$B$5:$B$85,0)),"")</f>
        <v>2</v>
      </c>
      <c r="C70" s="13" t="n">
        <v>2</v>
      </c>
      <c r="D70" s="5" t="s">
        <v>1575</v>
      </c>
      <c r="E70" s="13" t="s">
        <v>164</v>
      </c>
      <c r="F70" s="5" t="str">
        <f aca="false">IFERROR(INDEX(İller!$M$5:$M$85,MATCH(A70,İller!$B$5:$B$85,0)),"")</f>
        <v>Güney Marmara Kalkınma Ajansı</v>
      </c>
    </row>
    <row r="71" customFormat="false" ht="15" hidden="false" customHeight="false" outlineLevel="0" collapsed="false">
      <c r="A71" s="4" t="s">
        <v>1149</v>
      </c>
      <c r="B71" s="13" t="n">
        <f aca="false">IFERROR(INDEX(İller!$C$5:$C$85,MATCH(A71,İller!$B$5:$B$85,0)),"")</f>
        <v>2</v>
      </c>
      <c r="C71" s="13" t="n">
        <v>3</v>
      </c>
      <c r="D71" s="5" t="s">
        <v>1152</v>
      </c>
      <c r="E71" s="13" t="s">
        <v>1006</v>
      </c>
      <c r="F71" s="5" t="str">
        <f aca="false">IFERROR(INDEX(İller!$M$5:$M$85,MATCH(A71,İller!$B$5:$B$85,0)),"")</f>
        <v>Güney Marmara Kalkınma Ajansı</v>
      </c>
    </row>
    <row r="72" customFormat="false" ht="15" hidden="false" customHeight="false" outlineLevel="0" collapsed="false">
      <c r="A72" s="4" t="s">
        <v>1149</v>
      </c>
      <c r="B72" s="13" t="n">
        <f aca="false">IFERROR(INDEX(İller!$C$5:$C$85,MATCH(A72,İller!$B$5:$B$85,0)),"")</f>
        <v>2</v>
      </c>
      <c r="C72" s="13" t="n">
        <v>4</v>
      </c>
      <c r="D72" s="5" t="s">
        <v>1576</v>
      </c>
      <c r="E72" s="13" t="s">
        <v>164</v>
      </c>
      <c r="F72" s="5" t="str">
        <f aca="false">IFERROR(INDEX(İller!$M$5:$M$85,MATCH(A72,İller!$B$5:$B$85,0)),"")</f>
        <v>Güney Marmara Kalkınma Ajansı</v>
      </c>
    </row>
    <row r="73" customFormat="false" ht="15" hidden="false" customHeight="false" outlineLevel="0" collapsed="false">
      <c r="A73" s="4" t="s">
        <v>1155</v>
      </c>
      <c r="B73" s="13" t="n">
        <f aca="false">IFERROR(INDEX(İller!$C$5:$C$85,MATCH(A73,İller!$B$5:$B$85,0)),"")</f>
        <v>5</v>
      </c>
      <c r="C73" s="13" t="n">
        <v>1</v>
      </c>
      <c r="D73" s="5" t="s">
        <v>1537</v>
      </c>
      <c r="E73" s="13" t="s">
        <v>164</v>
      </c>
      <c r="F73" s="5" t="str">
        <f aca="false">IFERROR(INDEX(İller!$M$5:$M$85,MATCH(A73,İller!$B$5:$B$85,0)),"")</f>
        <v>Kuzey Anadolu Kalkınma Ajansı</v>
      </c>
    </row>
    <row r="74" customFormat="false" ht="15" hidden="false" customHeight="false" outlineLevel="0" collapsed="false">
      <c r="A74" s="4" t="s">
        <v>1155</v>
      </c>
      <c r="B74" s="13" t="n">
        <f aca="false">IFERROR(INDEX(İller!$C$5:$C$85,MATCH(A74,İller!$B$5:$B$85,0)),"")</f>
        <v>5</v>
      </c>
      <c r="C74" s="13" t="n">
        <v>2</v>
      </c>
      <c r="D74" s="5" t="s">
        <v>1577</v>
      </c>
      <c r="E74" s="13" t="s">
        <v>164</v>
      </c>
      <c r="F74" s="5" t="str">
        <f aca="false">IFERROR(INDEX(İller!$M$5:$M$85,MATCH(A74,İller!$B$5:$B$85,0)),"")</f>
        <v>Kuzey Anadolu Kalkınma Ajansı</v>
      </c>
    </row>
    <row r="75" customFormat="false" ht="15" hidden="false" customHeight="false" outlineLevel="0" collapsed="false">
      <c r="A75" s="4" t="s">
        <v>1155</v>
      </c>
      <c r="B75" s="13" t="n">
        <f aca="false">IFERROR(INDEX(İller!$C$5:$C$85,MATCH(A75,İller!$B$5:$B$85,0)),"")</f>
        <v>5</v>
      </c>
      <c r="C75" s="13" t="n">
        <v>3</v>
      </c>
      <c r="D75" s="5" t="s">
        <v>1578</v>
      </c>
      <c r="E75" s="13" t="s">
        <v>164</v>
      </c>
      <c r="F75" s="5" t="str">
        <f aca="false">IFERROR(INDEX(İller!$M$5:$M$85,MATCH(A75,İller!$B$5:$B$85,0)),"")</f>
        <v>Kuzey Anadolu Kalkınma Ajansı</v>
      </c>
    </row>
    <row r="76" customFormat="false" ht="15" hidden="false" customHeight="false" outlineLevel="0" collapsed="false">
      <c r="A76" s="4" t="s">
        <v>1155</v>
      </c>
      <c r="B76" s="13" t="n">
        <f aca="false">IFERROR(INDEX(İller!$C$5:$C$85,MATCH(A76,İller!$B$5:$B$85,0)),"")</f>
        <v>5</v>
      </c>
      <c r="C76" s="13" t="n">
        <v>4</v>
      </c>
      <c r="D76" s="5" t="s">
        <v>1579</v>
      </c>
      <c r="E76" s="13" t="s">
        <v>164</v>
      </c>
      <c r="F76" s="5" t="str">
        <f aca="false">IFERROR(INDEX(İller!$M$5:$M$85,MATCH(A76,İller!$B$5:$B$85,0)),"")</f>
        <v>Kuzey Anadolu Kalkınma Ajansı</v>
      </c>
    </row>
    <row r="77" customFormat="false" ht="15" hidden="false" customHeight="false" outlineLevel="0" collapsed="false">
      <c r="A77" s="4" t="s">
        <v>1163</v>
      </c>
      <c r="B77" s="13" t="n">
        <f aca="false">IFERROR(INDEX(İller!$C$5:$C$85,MATCH(A77,İller!$B$5:$B$85,0)),"")</f>
        <v>4</v>
      </c>
      <c r="C77" s="13" t="n">
        <v>1</v>
      </c>
      <c r="D77" s="5" t="s">
        <v>1580</v>
      </c>
      <c r="E77" s="13" t="s">
        <v>164</v>
      </c>
      <c r="F77" s="5" t="str">
        <f aca="false">IFERROR(INDEX(İller!$M$5:$M$85,MATCH(A77,İller!$B$5:$B$85,0)),"")</f>
        <v>Orta Karadeniz Kalkınma Ajansı</v>
      </c>
    </row>
    <row r="78" customFormat="false" ht="15" hidden="false" customHeight="false" outlineLevel="0" collapsed="false">
      <c r="A78" s="4" t="s">
        <v>1163</v>
      </c>
      <c r="B78" s="13" t="n">
        <f aca="false">IFERROR(INDEX(İller!$C$5:$C$85,MATCH(A78,İller!$B$5:$B$85,0)),"")</f>
        <v>4</v>
      </c>
      <c r="C78" s="13" t="n">
        <v>2</v>
      </c>
      <c r="D78" s="5" t="s">
        <v>1581</v>
      </c>
      <c r="E78" s="13" t="s">
        <v>164</v>
      </c>
      <c r="F78" s="5" t="str">
        <f aca="false">IFERROR(INDEX(İller!$M$5:$M$85,MATCH(A78,İller!$B$5:$B$85,0)),"")</f>
        <v>Orta Karadeniz Kalkınma Ajansı</v>
      </c>
    </row>
    <row r="79" customFormat="false" ht="23.85" hidden="false" customHeight="false" outlineLevel="0" collapsed="false">
      <c r="A79" s="4" t="s">
        <v>1163</v>
      </c>
      <c r="B79" s="13" t="n">
        <f aca="false">IFERROR(INDEX(İller!$C$5:$C$85,MATCH(A79,İller!$B$5:$B$85,0)),"")</f>
        <v>4</v>
      </c>
      <c r="C79" s="13" t="n">
        <v>3</v>
      </c>
      <c r="D79" s="5" t="s">
        <v>1166</v>
      </c>
      <c r="E79" s="13" t="s">
        <v>1006</v>
      </c>
      <c r="F79" s="5" t="str">
        <f aca="false">IFERROR(INDEX(İller!$M$5:$M$85,MATCH(A79,İller!$B$5:$B$85,0)),"")</f>
        <v>Orta Karadeniz Kalkınma Ajansı</v>
      </c>
    </row>
    <row r="80" customFormat="false" ht="15" hidden="false" customHeight="false" outlineLevel="0" collapsed="false">
      <c r="A80" s="4" t="s">
        <v>1163</v>
      </c>
      <c r="B80" s="13" t="n">
        <f aca="false">IFERROR(INDEX(İller!$C$5:$C$85,MATCH(A80,İller!$B$5:$B$85,0)),"")</f>
        <v>4</v>
      </c>
      <c r="C80" s="13" t="n">
        <v>4</v>
      </c>
      <c r="D80" s="5" t="s">
        <v>1582</v>
      </c>
      <c r="E80" s="13" t="s">
        <v>164</v>
      </c>
      <c r="F80" s="5" t="str">
        <f aca="false">IFERROR(INDEX(İller!$M$5:$M$85,MATCH(A80,İller!$B$5:$B$85,0)),"")</f>
        <v>Orta Karadeniz Kalkınma Ajansı</v>
      </c>
    </row>
    <row r="81" customFormat="false" ht="15" hidden="false" customHeight="false" outlineLevel="0" collapsed="false">
      <c r="A81" s="4" t="s">
        <v>1170</v>
      </c>
      <c r="B81" s="13" t="n">
        <f aca="false">IFERROR(INDEX(İller!$C$5:$C$85,MATCH(A81,İller!$B$5:$B$85,0)),"")</f>
        <v>2</v>
      </c>
      <c r="C81" s="13" t="n">
        <v>1</v>
      </c>
      <c r="D81" s="5" t="s">
        <v>1554</v>
      </c>
      <c r="E81" s="13" t="s">
        <v>164</v>
      </c>
      <c r="F81" s="5" t="str">
        <f aca="false">IFERROR(INDEX(İller!$M$5:$M$85,MATCH(A81,İller!$B$5:$B$85,0)),"")</f>
        <v>Güney Ege Kalkınma Ajansı</v>
      </c>
    </row>
    <row r="82" customFormat="false" ht="15" hidden="false" customHeight="false" outlineLevel="0" collapsed="false">
      <c r="A82" s="4" t="s">
        <v>1170</v>
      </c>
      <c r="B82" s="13" t="n">
        <f aca="false">IFERROR(INDEX(İller!$C$5:$C$85,MATCH(A82,İller!$B$5:$B$85,0)),"")</f>
        <v>2</v>
      </c>
      <c r="C82" s="13" t="n">
        <v>2</v>
      </c>
      <c r="D82" s="5" t="s">
        <v>1583</v>
      </c>
      <c r="E82" s="13" t="s">
        <v>164</v>
      </c>
      <c r="F82" s="5" t="str">
        <f aca="false">IFERROR(INDEX(İller!$M$5:$M$85,MATCH(A82,İller!$B$5:$B$85,0)),"")</f>
        <v>Güney Ege Kalkınma Ajansı</v>
      </c>
    </row>
    <row r="83" customFormat="false" ht="15" hidden="false" customHeight="false" outlineLevel="0" collapsed="false">
      <c r="A83" s="4" t="s">
        <v>1170</v>
      </c>
      <c r="B83" s="13" t="n">
        <f aca="false">IFERROR(INDEX(İller!$C$5:$C$85,MATCH(A83,İller!$B$5:$B$85,0)),"")</f>
        <v>2</v>
      </c>
      <c r="C83" s="13" t="n">
        <v>3</v>
      </c>
      <c r="D83" s="5" t="s">
        <v>1574</v>
      </c>
      <c r="E83" s="13" t="s">
        <v>164</v>
      </c>
      <c r="F83" s="5" t="str">
        <f aca="false">IFERROR(INDEX(İller!$M$5:$M$85,MATCH(A83,İller!$B$5:$B$85,0)),"")</f>
        <v>Güney Ege Kalkınma Ajansı</v>
      </c>
    </row>
    <row r="84" customFormat="false" ht="15" hidden="false" customHeight="false" outlineLevel="0" collapsed="false">
      <c r="A84" s="4" t="s">
        <v>1170</v>
      </c>
      <c r="B84" s="13" t="n">
        <f aca="false">IFERROR(INDEX(İller!$C$5:$C$85,MATCH(A84,İller!$B$5:$B$85,0)),"")</f>
        <v>2</v>
      </c>
      <c r="C84" s="13" t="n">
        <v>4</v>
      </c>
      <c r="D84" s="5" t="s">
        <v>1173</v>
      </c>
      <c r="E84" s="13" t="s">
        <v>1006</v>
      </c>
      <c r="F84" s="5" t="str">
        <f aca="false">IFERROR(INDEX(İller!$M$5:$M$85,MATCH(A84,İller!$B$5:$B$85,0)),"")</f>
        <v>Güney Ege Kalkınma Ajansı</v>
      </c>
    </row>
    <row r="85" customFormat="false" ht="15" hidden="false" customHeight="false" outlineLevel="0" collapsed="false">
      <c r="A85" s="4" t="s">
        <v>1177</v>
      </c>
      <c r="B85" s="13" t="n">
        <f aca="false">IFERROR(INDEX(İller!$C$5:$C$85,MATCH(A85,İller!$B$5:$B$85,0)),"")</f>
        <v>6</v>
      </c>
      <c r="C85" s="13" t="n">
        <v>1</v>
      </c>
      <c r="D85" s="5" t="s">
        <v>1584</v>
      </c>
      <c r="E85" s="13" t="s">
        <v>164</v>
      </c>
      <c r="F85" s="5" t="str">
        <f aca="false">IFERROR(INDEX(İller!$M$5:$M$85,MATCH(A85,İller!$B$5:$B$85,0)),"")</f>
        <v>Karacadağ Kalkınma Ajansı</v>
      </c>
    </row>
    <row r="86" customFormat="false" ht="15" hidden="false" customHeight="false" outlineLevel="0" collapsed="false">
      <c r="A86" s="4" t="s">
        <v>1177</v>
      </c>
      <c r="B86" s="13" t="n">
        <f aca="false">IFERROR(INDEX(İller!$C$5:$C$85,MATCH(A86,İller!$B$5:$B$85,0)),"")</f>
        <v>6</v>
      </c>
      <c r="C86" s="13" t="n">
        <v>2</v>
      </c>
      <c r="D86" s="5" t="s">
        <v>1585</v>
      </c>
      <c r="E86" s="13" t="s">
        <v>164</v>
      </c>
      <c r="F86" s="5" t="str">
        <f aca="false">IFERROR(INDEX(İller!$M$5:$M$85,MATCH(A86,İller!$B$5:$B$85,0)),"")</f>
        <v>Karacadağ Kalkınma Ajansı</v>
      </c>
    </row>
    <row r="87" customFormat="false" ht="15" hidden="false" customHeight="false" outlineLevel="0" collapsed="false">
      <c r="A87" s="4" t="s">
        <v>1177</v>
      </c>
      <c r="B87" s="13" t="n">
        <f aca="false">IFERROR(INDEX(İller!$C$5:$C$85,MATCH(A87,İller!$B$5:$B$85,0)),"")</f>
        <v>6</v>
      </c>
      <c r="C87" s="13" t="n">
        <v>3</v>
      </c>
      <c r="D87" s="5" t="s">
        <v>1586</v>
      </c>
      <c r="E87" s="13" t="s">
        <v>164</v>
      </c>
      <c r="F87" s="5" t="str">
        <f aca="false">IFERROR(INDEX(İller!$M$5:$M$85,MATCH(A87,İller!$B$5:$B$85,0)),"")</f>
        <v>Karacadağ Kalkınma Ajansı</v>
      </c>
    </row>
    <row r="88" customFormat="false" ht="15" hidden="false" customHeight="false" outlineLevel="0" collapsed="false">
      <c r="A88" s="4" t="s">
        <v>1177</v>
      </c>
      <c r="B88" s="13" t="n">
        <f aca="false">IFERROR(INDEX(İller!$C$5:$C$85,MATCH(A88,İller!$B$5:$B$85,0)),"")</f>
        <v>6</v>
      </c>
      <c r="C88" s="13" t="n">
        <v>4</v>
      </c>
      <c r="D88" s="5" t="s">
        <v>1587</v>
      </c>
      <c r="E88" s="13" t="s">
        <v>164</v>
      </c>
      <c r="F88" s="5" t="str">
        <f aca="false">IFERROR(INDEX(İller!$M$5:$M$85,MATCH(A88,İller!$B$5:$B$85,0)),"")</f>
        <v>Karacadağ Kalkınma Ajansı</v>
      </c>
    </row>
    <row r="89" customFormat="false" ht="15" hidden="false" customHeight="false" outlineLevel="0" collapsed="false">
      <c r="A89" s="4" t="s">
        <v>1184</v>
      </c>
      <c r="B89" s="13" t="n">
        <f aca="false">IFERROR(INDEX(İller!$C$5:$C$85,MATCH(A89,İller!$B$5:$B$85,0)),"")</f>
        <v>2</v>
      </c>
      <c r="C89" s="13" t="n">
        <v>1</v>
      </c>
      <c r="D89" s="5" t="s">
        <v>1543</v>
      </c>
      <c r="E89" s="13" t="s">
        <v>164</v>
      </c>
      <c r="F89" s="5" t="str">
        <f aca="false">IFERROR(INDEX(İller!$M$5:$M$85,MATCH(A89,İller!$B$5:$B$85,0)),"")</f>
        <v>Trakya Kalkınma Ajansı</v>
      </c>
    </row>
    <row r="90" customFormat="false" ht="15" hidden="false" customHeight="false" outlineLevel="0" collapsed="false">
      <c r="A90" s="4" t="s">
        <v>1184</v>
      </c>
      <c r="B90" s="13" t="n">
        <f aca="false">IFERROR(INDEX(İller!$C$5:$C$85,MATCH(A90,İller!$B$5:$B$85,0)),"")</f>
        <v>2</v>
      </c>
      <c r="C90" s="13" t="n">
        <v>2</v>
      </c>
      <c r="D90" s="5" t="s">
        <v>1555</v>
      </c>
      <c r="E90" s="13" t="s">
        <v>164</v>
      </c>
      <c r="F90" s="5" t="str">
        <f aca="false">IFERROR(INDEX(İller!$M$5:$M$85,MATCH(A90,İller!$B$5:$B$85,0)),"")</f>
        <v>Trakya Kalkınma Ajansı</v>
      </c>
    </row>
    <row r="91" customFormat="false" ht="15" hidden="false" customHeight="false" outlineLevel="0" collapsed="false">
      <c r="A91" s="4" t="s">
        <v>1184</v>
      </c>
      <c r="B91" s="13" t="n">
        <f aca="false">IFERROR(INDEX(İller!$C$5:$C$85,MATCH(A91,İller!$B$5:$B$85,0)),"")</f>
        <v>2</v>
      </c>
      <c r="C91" s="13" t="n">
        <v>3</v>
      </c>
      <c r="D91" s="5" t="s">
        <v>1187</v>
      </c>
      <c r="E91" s="13" t="s">
        <v>1006</v>
      </c>
      <c r="F91" s="5" t="str">
        <f aca="false">IFERROR(INDEX(İller!$M$5:$M$85,MATCH(A91,İller!$B$5:$B$85,0)),"")</f>
        <v>Trakya Kalkınma Ajansı</v>
      </c>
    </row>
    <row r="92" customFormat="false" ht="15" hidden="false" customHeight="false" outlineLevel="0" collapsed="false">
      <c r="A92" s="4" t="s">
        <v>1184</v>
      </c>
      <c r="B92" s="13" t="n">
        <f aca="false">IFERROR(INDEX(İller!$C$5:$C$85,MATCH(A92,İller!$B$5:$B$85,0)),"")</f>
        <v>2</v>
      </c>
      <c r="C92" s="13" t="n">
        <v>4</v>
      </c>
      <c r="D92" s="5" t="s">
        <v>1588</v>
      </c>
      <c r="E92" s="13" t="s">
        <v>164</v>
      </c>
      <c r="F92" s="5" t="str">
        <f aca="false">IFERROR(INDEX(İller!$M$5:$M$85,MATCH(A92,İller!$B$5:$B$85,0)),"")</f>
        <v>Trakya Kalkınma Ajansı</v>
      </c>
    </row>
    <row r="93" customFormat="false" ht="15" hidden="false" customHeight="false" outlineLevel="0" collapsed="false">
      <c r="A93" s="4" t="s">
        <v>1191</v>
      </c>
      <c r="B93" s="13" t="n">
        <f aca="false">IFERROR(INDEX(İller!$C$5:$C$85,MATCH(A93,İller!$B$5:$B$85,0)),"")</f>
        <v>4</v>
      </c>
      <c r="C93" s="13" t="n">
        <v>1</v>
      </c>
      <c r="D93" s="5" t="s">
        <v>1589</v>
      </c>
      <c r="E93" s="13" t="s">
        <v>164</v>
      </c>
      <c r="F93" s="5" t="str">
        <f aca="false">IFERROR(INDEX(İller!$M$5:$M$85,MATCH(A93,İller!$B$5:$B$85,0)),"")</f>
        <v>Fırat Kalkınma Ajansı</v>
      </c>
    </row>
    <row r="94" customFormat="false" ht="15" hidden="false" customHeight="false" outlineLevel="0" collapsed="false">
      <c r="A94" s="4" t="s">
        <v>1191</v>
      </c>
      <c r="B94" s="13" t="n">
        <f aca="false">IFERROR(INDEX(İller!$C$5:$C$85,MATCH(A94,İller!$B$5:$B$85,0)),"")</f>
        <v>4</v>
      </c>
      <c r="C94" s="13" t="n">
        <v>2</v>
      </c>
      <c r="D94" s="5" t="s">
        <v>1590</v>
      </c>
      <c r="E94" s="13" t="s">
        <v>164</v>
      </c>
      <c r="F94" s="5" t="str">
        <f aca="false">IFERROR(INDEX(İller!$M$5:$M$85,MATCH(A94,İller!$B$5:$B$85,0)),"")</f>
        <v>Fırat Kalkınma Ajansı</v>
      </c>
    </row>
    <row r="95" customFormat="false" ht="15" hidden="false" customHeight="false" outlineLevel="0" collapsed="false">
      <c r="A95" s="4" t="s">
        <v>1191</v>
      </c>
      <c r="B95" s="13" t="n">
        <f aca="false">IFERROR(INDEX(İller!$C$5:$C$85,MATCH(A95,İller!$B$5:$B$85,0)),"")</f>
        <v>4</v>
      </c>
      <c r="C95" s="13" t="n">
        <v>3</v>
      </c>
      <c r="D95" s="5" t="s">
        <v>1591</v>
      </c>
      <c r="E95" s="13" t="s">
        <v>164</v>
      </c>
      <c r="F95" s="5" t="str">
        <f aca="false">IFERROR(INDEX(İller!$M$5:$M$85,MATCH(A95,İller!$B$5:$B$85,0)),"")</f>
        <v>Fırat Kalkınma Ajansı</v>
      </c>
    </row>
    <row r="96" customFormat="false" ht="15" hidden="false" customHeight="false" outlineLevel="0" collapsed="false">
      <c r="A96" s="4" t="s">
        <v>1191</v>
      </c>
      <c r="B96" s="13" t="n">
        <f aca="false">IFERROR(INDEX(İller!$C$5:$C$85,MATCH(A96,İller!$B$5:$B$85,0)),"")</f>
        <v>4</v>
      </c>
      <c r="C96" s="13" t="n">
        <v>4</v>
      </c>
      <c r="D96" s="5" t="s">
        <v>1592</v>
      </c>
      <c r="E96" s="13" t="s">
        <v>164</v>
      </c>
      <c r="F96" s="5" t="str">
        <f aca="false">IFERROR(INDEX(İller!$M$5:$M$85,MATCH(A96,İller!$B$5:$B$85,0)),"")</f>
        <v>Fırat Kalkınma Ajansı</v>
      </c>
    </row>
    <row r="97" customFormat="false" ht="15" hidden="false" customHeight="false" outlineLevel="0" collapsed="false">
      <c r="A97" s="4" t="s">
        <v>1198</v>
      </c>
      <c r="B97" s="13" t="n">
        <f aca="false">IFERROR(INDEX(İller!$C$5:$C$85,MATCH(A97,İller!$B$5:$B$85,0)),"")</f>
        <v>4</v>
      </c>
      <c r="C97" s="13" t="n">
        <v>1</v>
      </c>
      <c r="D97" s="5" t="s">
        <v>1593</v>
      </c>
      <c r="E97" s="13" t="s">
        <v>164</v>
      </c>
      <c r="F97" s="5" t="str">
        <f aca="false">IFERROR(INDEX(İller!$M$5:$M$85,MATCH(A97,İller!$B$5:$B$85,0)),"")</f>
        <v>Kuzey Doğu Anadolu Kalkınma Ajansı</v>
      </c>
    </row>
    <row r="98" customFormat="false" ht="15" hidden="false" customHeight="false" outlineLevel="0" collapsed="false">
      <c r="A98" s="4" t="s">
        <v>1198</v>
      </c>
      <c r="B98" s="13" t="n">
        <f aca="false">IFERROR(INDEX(İller!$C$5:$C$85,MATCH(A98,İller!$B$5:$B$85,0)),"")</f>
        <v>4</v>
      </c>
      <c r="C98" s="13" t="n">
        <v>2</v>
      </c>
      <c r="D98" s="5" t="s">
        <v>1594</v>
      </c>
      <c r="E98" s="13" t="s">
        <v>164</v>
      </c>
      <c r="F98" s="5" t="str">
        <f aca="false">IFERROR(INDEX(İller!$M$5:$M$85,MATCH(A98,İller!$B$5:$B$85,0)),"")</f>
        <v>Kuzey Doğu Anadolu Kalkınma Ajansı</v>
      </c>
    </row>
    <row r="99" customFormat="false" ht="15" hidden="false" customHeight="false" outlineLevel="0" collapsed="false">
      <c r="A99" s="4" t="s">
        <v>1198</v>
      </c>
      <c r="B99" s="13" t="n">
        <f aca="false">IFERROR(INDEX(İller!$C$5:$C$85,MATCH(A99,İller!$B$5:$B$85,0)),"")</f>
        <v>4</v>
      </c>
      <c r="C99" s="13" t="n">
        <v>3</v>
      </c>
      <c r="D99" s="5" t="s">
        <v>1567</v>
      </c>
      <c r="E99" s="13" t="s">
        <v>164</v>
      </c>
      <c r="F99" s="5" t="str">
        <f aca="false">IFERROR(INDEX(İller!$M$5:$M$85,MATCH(A99,İller!$B$5:$B$85,0)),"")</f>
        <v>Kuzey Doğu Anadolu Kalkınma Ajansı</v>
      </c>
    </row>
    <row r="100" customFormat="false" ht="15" hidden="false" customHeight="false" outlineLevel="0" collapsed="false">
      <c r="A100" s="4" t="s">
        <v>1198</v>
      </c>
      <c r="B100" s="13" t="n">
        <f aca="false">IFERROR(INDEX(İller!$C$5:$C$85,MATCH(A100,İller!$B$5:$B$85,0)),"")</f>
        <v>4</v>
      </c>
      <c r="C100" s="13" t="n">
        <v>4</v>
      </c>
      <c r="D100" s="5" t="s">
        <v>1201</v>
      </c>
      <c r="E100" s="13" t="s">
        <v>1006</v>
      </c>
      <c r="F100" s="5" t="str">
        <f aca="false">IFERROR(INDEX(İller!$M$5:$M$85,MATCH(A100,İller!$B$5:$B$85,0)),"")</f>
        <v>Kuzey Doğu Anadolu Kalkınma Ajansı</v>
      </c>
    </row>
    <row r="101" customFormat="false" ht="15" hidden="false" customHeight="false" outlineLevel="0" collapsed="false">
      <c r="A101" s="4" t="s">
        <v>1207</v>
      </c>
      <c r="B101" s="13" t="n">
        <f aca="false">IFERROR(INDEX(İller!$C$5:$C$85,MATCH(A101,İller!$B$5:$B$85,0)),"")</f>
        <v>5</v>
      </c>
      <c r="C101" s="13" t="n">
        <v>1</v>
      </c>
      <c r="D101" s="5" t="s">
        <v>1543</v>
      </c>
      <c r="E101" s="13" t="s">
        <v>164</v>
      </c>
      <c r="F101" s="5" t="str">
        <f aca="false">IFERROR(INDEX(İller!$M$5:$M$85,MATCH(A101,İller!$B$5:$B$85,0)),"")</f>
        <v>Kuzey Doğu Anadolu Kalkınma Ajansı</v>
      </c>
    </row>
    <row r="102" customFormat="false" ht="15" hidden="false" customHeight="false" outlineLevel="0" collapsed="false">
      <c r="A102" s="4" t="s">
        <v>1207</v>
      </c>
      <c r="B102" s="13" t="n">
        <f aca="false">IFERROR(INDEX(İller!$C$5:$C$85,MATCH(A102,İller!$B$5:$B$85,0)),"")</f>
        <v>5</v>
      </c>
      <c r="C102" s="13" t="n">
        <v>2</v>
      </c>
      <c r="D102" s="5" t="s">
        <v>1595</v>
      </c>
      <c r="E102" s="13" t="s">
        <v>164</v>
      </c>
      <c r="F102" s="5" t="str">
        <f aca="false">IFERROR(INDEX(İller!$M$5:$M$85,MATCH(A102,İller!$B$5:$B$85,0)),"")</f>
        <v>Kuzey Doğu Anadolu Kalkınma Ajansı</v>
      </c>
    </row>
    <row r="103" customFormat="false" ht="15" hidden="false" customHeight="false" outlineLevel="0" collapsed="false">
      <c r="A103" s="4" t="s">
        <v>1207</v>
      </c>
      <c r="B103" s="13" t="n">
        <f aca="false">IFERROR(INDEX(İller!$C$5:$C$85,MATCH(A103,İller!$B$5:$B$85,0)),"")</f>
        <v>5</v>
      </c>
      <c r="C103" s="13" t="n">
        <v>3</v>
      </c>
      <c r="D103" s="5" t="s">
        <v>1568</v>
      </c>
      <c r="E103" s="13" t="s">
        <v>164</v>
      </c>
      <c r="F103" s="5" t="str">
        <f aca="false">IFERROR(INDEX(İller!$M$5:$M$85,MATCH(A103,İller!$B$5:$B$85,0)),"")</f>
        <v>Kuzey Doğu Anadolu Kalkınma Ajansı</v>
      </c>
    </row>
    <row r="104" customFormat="false" ht="15" hidden="false" customHeight="false" outlineLevel="0" collapsed="false">
      <c r="A104" s="4" t="s">
        <v>1207</v>
      </c>
      <c r="B104" s="13" t="n">
        <f aca="false">IFERROR(INDEX(İller!$C$5:$C$85,MATCH(A104,İller!$B$5:$B$85,0)),"")</f>
        <v>5</v>
      </c>
      <c r="C104" s="13" t="n">
        <v>4</v>
      </c>
      <c r="D104" s="5" t="s">
        <v>1596</v>
      </c>
      <c r="E104" s="13" t="s">
        <v>164</v>
      </c>
      <c r="F104" s="5" t="str">
        <f aca="false">IFERROR(INDEX(İller!$M$5:$M$85,MATCH(A104,İller!$B$5:$B$85,0)),"")</f>
        <v>Kuzey Doğu Anadolu Kalkınma Ajansı</v>
      </c>
    </row>
    <row r="105" customFormat="false" ht="15" hidden="false" customHeight="false" outlineLevel="0" collapsed="false">
      <c r="A105" s="4" t="s">
        <v>1213</v>
      </c>
      <c r="B105" s="13" t="n">
        <f aca="false">IFERROR(INDEX(İller!$C$5:$C$85,MATCH(A105,İller!$B$5:$B$85,0)),"")</f>
        <v>1</v>
      </c>
      <c r="C105" s="13" t="n">
        <v>1</v>
      </c>
      <c r="D105" s="5" t="s">
        <v>1597</v>
      </c>
      <c r="E105" s="13" t="s">
        <v>164</v>
      </c>
      <c r="F105" s="5" t="str">
        <f aca="false">IFERROR(INDEX(İller!$M$5:$M$85,MATCH(A105,İller!$B$5:$B$85,0)),"")</f>
        <v>Bursa Eskişehir Bilecik Kalkınma Ajansı</v>
      </c>
    </row>
    <row r="106" customFormat="false" ht="15" hidden="false" customHeight="false" outlineLevel="0" collapsed="false">
      <c r="A106" s="4" t="s">
        <v>1213</v>
      </c>
      <c r="B106" s="13" t="n">
        <f aca="false">IFERROR(INDEX(İller!$C$5:$C$85,MATCH(A106,İller!$B$5:$B$85,0)),"")</f>
        <v>1</v>
      </c>
      <c r="C106" s="13" t="n">
        <v>2</v>
      </c>
      <c r="D106" s="5" t="s">
        <v>1598</v>
      </c>
      <c r="E106" s="13" t="s">
        <v>164</v>
      </c>
      <c r="F106" s="5" t="str">
        <f aca="false">IFERROR(INDEX(İller!$M$5:$M$85,MATCH(A106,İller!$B$5:$B$85,0)),"")</f>
        <v>Bursa Eskişehir Bilecik Kalkınma Ajansı</v>
      </c>
    </row>
    <row r="107" customFormat="false" ht="15" hidden="false" customHeight="false" outlineLevel="0" collapsed="false">
      <c r="A107" s="4" t="s">
        <v>1213</v>
      </c>
      <c r="B107" s="13" t="n">
        <f aca="false">IFERROR(INDEX(İller!$C$5:$C$85,MATCH(A107,İller!$B$5:$B$85,0)),"")</f>
        <v>1</v>
      </c>
      <c r="C107" s="13" t="n">
        <v>3</v>
      </c>
      <c r="D107" s="5" t="s">
        <v>1599</v>
      </c>
      <c r="E107" s="13" t="s">
        <v>164</v>
      </c>
      <c r="F107" s="5" t="str">
        <f aca="false">IFERROR(INDEX(İller!$M$5:$M$85,MATCH(A107,İller!$B$5:$B$85,0)),"")</f>
        <v>Bursa Eskişehir Bilecik Kalkınma Ajansı</v>
      </c>
    </row>
    <row r="108" customFormat="false" ht="15" hidden="false" customHeight="false" outlineLevel="0" collapsed="false">
      <c r="A108" s="4" t="s">
        <v>1213</v>
      </c>
      <c r="B108" s="13" t="n">
        <f aca="false">IFERROR(INDEX(İller!$C$5:$C$85,MATCH(A108,İller!$B$5:$B$85,0)),"")</f>
        <v>1</v>
      </c>
      <c r="C108" s="13" t="n">
        <v>4</v>
      </c>
      <c r="D108" s="5" t="s">
        <v>1600</v>
      </c>
      <c r="E108" s="13" t="s">
        <v>164</v>
      </c>
      <c r="F108" s="5" t="str">
        <f aca="false">IFERROR(INDEX(İller!$M$5:$M$85,MATCH(A108,İller!$B$5:$B$85,0)),"")</f>
        <v>Bursa Eskişehir Bilecik Kalkınma Ajansı</v>
      </c>
    </row>
    <row r="109" customFormat="false" ht="15" hidden="false" customHeight="false" outlineLevel="0" collapsed="false">
      <c r="A109" s="4" t="s">
        <v>1217</v>
      </c>
      <c r="B109" s="13" t="n">
        <f aca="false">IFERROR(INDEX(İller!$C$5:$C$85,MATCH(A109,İller!$B$5:$B$85,0)),"")</f>
        <v>3</v>
      </c>
      <c r="C109" s="13" t="n">
        <v>1</v>
      </c>
      <c r="D109" s="5" t="s">
        <v>1601</v>
      </c>
      <c r="E109" s="13" t="s">
        <v>164</v>
      </c>
      <c r="F109" s="5" t="str">
        <f aca="false">IFERROR(INDEX(İller!$M$5:$M$85,MATCH(A109,İller!$B$5:$B$85,0)),"")</f>
        <v>İpek Yolu Kalkınma Ajansı</v>
      </c>
    </row>
    <row r="110" customFormat="false" ht="15" hidden="false" customHeight="false" outlineLevel="0" collapsed="false">
      <c r="A110" s="4" t="s">
        <v>1217</v>
      </c>
      <c r="B110" s="13" t="n">
        <f aca="false">IFERROR(INDEX(İller!$C$5:$C$85,MATCH(A110,İller!$B$5:$B$85,0)),"")</f>
        <v>3</v>
      </c>
      <c r="C110" s="13" t="n">
        <v>2</v>
      </c>
      <c r="D110" s="5" t="s">
        <v>1602</v>
      </c>
      <c r="E110" s="13" t="s">
        <v>164</v>
      </c>
      <c r="F110" s="5" t="str">
        <f aca="false">IFERROR(INDEX(İller!$M$5:$M$85,MATCH(A110,İller!$B$5:$B$85,0)),"")</f>
        <v>İpek Yolu Kalkınma Ajansı</v>
      </c>
    </row>
    <row r="111" customFormat="false" ht="15" hidden="false" customHeight="false" outlineLevel="0" collapsed="false">
      <c r="A111" s="4" t="s">
        <v>1217</v>
      </c>
      <c r="B111" s="13" t="n">
        <f aca="false">IFERROR(INDEX(İller!$C$5:$C$85,MATCH(A111,İller!$B$5:$B$85,0)),"")</f>
        <v>3</v>
      </c>
      <c r="C111" s="13" t="n">
        <v>3</v>
      </c>
      <c r="D111" s="5" t="s">
        <v>1603</v>
      </c>
      <c r="E111" s="13" t="s">
        <v>164</v>
      </c>
      <c r="F111" s="5" t="str">
        <f aca="false">IFERROR(INDEX(İller!$M$5:$M$85,MATCH(A111,İller!$B$5:$B$85,0)),"")</f>
        <v>İpek Yolu Kalkınma Ajansı</v>
      </c>
    </row>
    <row r="112" customFormat="false" ht="15" hidden="false" customHeight="false" outlineLevel="0" collapsed="false">
      <c r="A112" s="4" t="s">
        <v>1217</v>
      </c>
      <c r="B112" s="13" t="n">
        <f aca="false">IFERROR(INDEX(İller!$C$5:$C$85,MATCH(A112,İller!$B$5:$B$85,0)),"")</f>
        <v>3</v>
      </c>
      <c r="C112" s="13" t="n">
        <v>4</v>
      </c>
      <c r="D112" s="5" t="s">
        <v>1574</v>
      </c>
      <c r="E112" s="13" t="s">
        <v>164</v>
      </c>
      <c r="F112" s="5" t="str">
        <f aca="false">IFERROR(INDEX(İller!$M$5:$M$85,MATCH(A112,İller!$B$5:$B$85,0)),"")</f>
        <v>İpek Yolu Kalkınma Ajansı</v>
      </c>
    </row>
    <row r="113" customFormat="false" ht="15" hidden="false" customHeight="false" outlineLevel="0" collapsed="false">
      <c r="A113" s="4" t="s">
        <v>1223</v>
      </c>
      <c r="B113" s="13" t="n">
        <f aca="false">IFERROR(INDEX(İller!$C$5:$C$85,MATCH(A113,İller!$B$5:$B$85,0)),"")</f>
        <v>5</v>
      </c>
      <c r="C113" s="13" t="n">
        <v>1</v>
      </c>
      <c r="D113" s="5" t="s">
        <v>1554</v>
      </c>
      <c r="E113" s="13" t="s">
        <v>164</v>
      </c>
      <c r="F113" s="5" t="str">
        <f aca="false">IFERROR(INDEX(İller!$M$5:$M$85,MATCH(A113,İller!$B$5:$B$85,0)),"")</f>
        <v>Doğu Karadeniz Kalkınma Ajansı</v>
      </c>
    </row>
    <row r="114" customFormat="false" ht="15" hidden="false" customHeight="false" outlineLevel="0" collapsed="false">
      <c r="A114" s="4" t="s">
        <v>1223</v>
      </c>
      <c r="B114" s="13" t="n">
        <f aca="false">IFERROR(INDEX(İller!$C$5:$C$85,MATCH(A114,İller!$B$5:$B$85,0)),"")</f>
        <v>5</v>
      </c>
      <c r="C114" s="13" t="n">
        <v>2</v>
      </c>
      <c r="D114" s="5" t="s">
        <v>1604</v>
      </c>
      <c r="E114" s="13" t="s">
        <v>164</v>
      </c>
      <c r="F114" s="5" t="str">
        <f aca="false">IFERROR(INDEX(İller!$M$5:$M$85,MATCH(A114,İller!$B$5:$B$85,0)),"")</f>
        <v>Doğu Karadeniz Kalkınma Ajansı</v>
      </c>
    </row>
    <row r="115" customFormat="false" ht="15" hidden="false" customHeight="false" outlineLevel="0" collapsed="false">
      <c r="A115" s="4" t="s">
        <v>1223</v>
      </c>
      <c r="B115" s="13" t="n">
        <f aca="false">IFERROR(INDEX(İller!$C$5:$C$85,MATCH(A115,İller!$B$5:$B$85,0)),"")</f>
        <v>5</v>
      </c>
      <c r="C115" s="13" t="n">
        <v>3</v>
      </c>
      <c r="D115" s="5" t="s">
        <v>1605</v>
      </c>
      <c r="E115" s="13" t="s">
        <v>164</v>
      </c>
      <c r="F115" s="5" t="str">
        <f aca="false">IFERROR(INDEX(İller!$M$5:$M$85,MATCH(A115,İller!$B$5:$B$85,0)),"")</f>
        <v>Doğu Karadeniz Kalkınma Ajansı</v>
      </c>
    </row>
    <row r="116" customFormat="false" ht="15" hidden="false" customHeight="false" outlineLevel="0" collapsed="false">
      <c r="A116" s="4" t="s">
        <v>1223</v>
      </c>
      <c r="B116" s="13" t="n">
        <f aca="false">IFERROR(INDEX(İller!$C$5:$C$85,MATCH(A116,İller!$B$5:$B$85,0)),"")</f>
        <v>5</v>
      </c>
      <c r="C116" s="13" t="n">
        <v>4</v>
      </c>
      <c r="D116" s="5" t="s">
        <v>1533</v>
      </c>
      <c r="E116" s="13" t="s">
        <v>164</v>
      </c>
      <c r="F116" s="5" t="str">
        <f aca="false">IFERROR(INDEX(İller!$M$5:$M$85,MATCH(A116,İller!$B$5:$B$85,0)),"")</f>
        <v>Doğu Karadeniz Kalkınma Ajansı</v>
      </c>
    </row>
    <row r="117" customFormat="false" ht="15" hidden="false" customHeight="false" outlineLevel="0" collapsed="false">
      <c r="A117" s="4" t="s">
        <v>1228</v>
      </c>
      <c r="B117" s="13" t="n">
        <f aca="false">IFERROR(INDEX(İller!$C$5:$C$85,MATCH(A117,İller!$B$5:$B$85,0)),"")</f>
        <v>6</v>
      </c>
      <c r="C117" s="13" t="n">
        <v>1</v>
      </c>
      <c r="D117" s="5" t="s">
        <v>1554</v>
      </c>
      <c r="E117" s="13" t="s">
        <v>164</v>
      </c>
      <c r="F117" s="5" t="str">
        <f aca="false">IFERROR(INDEX(İller!$M$5:$M$85,MATCH(A117,İller!$B$5:$B$85,0)),"")</f>
        <v>Doğu Karadeniz Kalkınma Ajansı</v>
      </c>
    </row>
    <row r="118" customFormat="false" ht="15" hidden="false" customHeight="false" outlineLevel="0" collapsed="false">
      <c r="A118" s="4" t="s">
        <v>1228</v>
      </c>
      <c r="B118" s="13" t="n">
        <f aca="false">IFERROR(INDEX(İller!$C$5:$C$85,MATCH(A118,İller!$B$5:$B$85,0)),"")</f>
        <v>6</v>
      </c>
      <c r="C118" s="13" t="n">
        <v>2</v>
      </c>
      <c r="D118" s="5" t="s">
        <v>1606</v>
      </c>
      <c r="E118" s="13" t="s">
        <v>164</v>
      </c>
      <c r="F118" s="5" t="str">
        <f aca="false">IFERROR(INDEX(İller!$M$5:$M$85,MATCH(A118,İller!$B$5:$B$85,0)),"")</f>
        <v>Doğu Karadeniz Kalkınma Ajansı</v>
      </c>
    </row>
    <row r="119" customFormat="false" ht="15" hidden="false" customHeight="false" outlineLevel="0" collapsed="false">
      <c r="A119" s="4" t="s">
        <v>1228</v>
      </c>
      <c r="B119" s="13" t="n">
        <f aca="false">IFERROR(INDEX(İller!$C$5:$C$85,MATCH(A119,İller!$B$5:$B$85,0)),"")</f>
        <v>6</v>
      </c>
      <c r="C119" s="13" t="n">
        <v>3</v>
      </c>
      <c r="D119" s="5" t="s">
        <v>1607</v>
      </c>
      <c r="E119" s="13" t="s">
        <v>164</v>
      </c>
      <c r="F119" s="5" t="str">
        <f aca="false">IFERROR(INDEX(İller!$M$5:$M$85,MATCH(A119,İller!$B$5:$B$85,0)),"")</f>
        <v>Doğu Karadeniz Kalkınma Ajansı</v>
      </c>
    </row>
    <row r="120" customFormat="false" ht="15" hidden="false" customHeight="false" outlineLevel="0" collapsed="false">
      <c r="A120" s="4" t="s">
        <v>1228</v>
      </c>
      <c r="B120" s="13" t="n">
        <f aca="false">IFERROR(INDEX(İller!$C$5:$C$85,MATCH(A120,İller!$B$5:$B$85,0)),"")</f>
        <v>6</v>
      </c>
      <c r="C120" s="13" t="n">
        <v>4</v>
      </c>
      <c r="D120" s="5" t="s">
        <v>1533</v>
      </c>
      <c r="E120" s="13" t="s">
        <v>164</v>
      </c>
      <c r="F120" s="5" t="str">
        <f aca="false">IFERROR(INDEX(İller!$M$5:$M$85,MATCH(A120,İller!$B$5:$B$85,0)),"")</f>
        <v>Doğu Karadeniz Kalkınma Ajansı</v>
      </c>
    </row>
    <row r="121" customFormat="false" ht="15" hidden="false" customHeight="false" outlineLevel="0" collapsed="false">
      <c r="A121" s="4" t="s">
        <v>1232</v>
      </c>
      <c r="B121" s="13" t="n">
        <f aca="false">IFERROR(INDEX(İller!$C$5:$C$85,MATCH(A121,İller!$B$5:$B$85,0)),"")</f>
        <v>6</v>
      </c>
      <c r="C121" s="13" t="n">
        <v>1</v>
      </c>
      <c r="D121" s="5" t="s">
        <v>1608</v>
      </c>
      <c r="E121" s="13" t="s">
        <v>164</v>
      </c>
      <c r="F121" s="5" t="str">
        <f aca="false">IFERROR(INDEX(İller!$M$5:$M$85,MATCH(A121,İller!$B$5:$B$85,0)),"")</f>
        <v>Doğu Anadolu Kalkınma Ajansı</v>
      </c>
    </row>
    <row r="122" customFormat="false" ht="15" hidden="false" customHeight="false" outlineLevel="0" collapsed="false">
      <c r="A122" s="4" t="s">
        <v>1232</v>
      </c>
      <c r="B122" s="13" t="n">
        <f aca="false">IFERROR(INDEX(İller!$C$5:$C$85,MATCH(A122,İller!$B$5:$B$85,0)),"")</f>
        <v>6</v>
      </c>
      <c r="C122" s="13" t="n">
        <v>2</v>
      </c>
      <c r="D122" s="5" t="s">
        <v>1609</v>
      </c>
      <c r="E122" s="13" t="s">
        <v>164</v>
      </c>
      <c r="F122" s="5" t="str">
        <f aca="false">IFERROR(INDEX(İller!$M$5:$M$85,MATCH(A122,İller!$B$5:$B$85,0)),"")</f>
        <v>Doğu Anadolu Kalkınma Ajansı</v>
      </c>
    </row>
    <row r="123" customFormat="false" ht="15" hidden="false" customHeight="false" outlineLevel="0" collapsed="false">
      <c r="A123" s="4" t="s">
        <v>1232</v>
      </c>
      <c r="B123" s="13" t="n">
        <f aca="false">IFERROR(INDEX(İller!$C$5:$C$85,MATCH(A123,İller!$B$5:$B$85,0)),"")</f>
        <v>6</v>
      </c>
      <c r="C123" s="13" t="n">
        <v>3</v>
      </c>
      <c r="D123" s="5" t="s">
        <v>1610</v>
      </c>
      <c r="E123" s="13" t="s">
        <v>164</v>
      </c>
      <c r="F123" s="5" t="str">
        <f aca="false">IFERROR(INDEX(İller!$M$5:$M$85,MATCH(A123,İller!$B$5:$B$85,0)),"")</f>
        <v>Doğu Anadolu Kalkınma Ajansı</v>
      </c>
    </row>
    <row r="124" customFormat="false" ht="15" hidden="false" customHeight="false" outlineLevel="0" collapsed="false">
      <c r="A124" s="4" t="s">
        <v>1232</v>
      </c>
      <c r="B124" s="13" t="n">
        <f aca="false">IFERROR(INDEX(İller!$C$5:$C$85,MATCH(A124,İller!$B$5:$B$85,0)),"")</f>
        <v>6</v>
      </c>
      <c r="C124" s="13" t="n">
        <v>4</v>
      </c>
      <c r="D124" s="5" t="s">
        <v>1577</v>
      </c>
      <c r="E124" s="13" t="s">
        <v>164</v>
      </c>
      <c r="F124" s="5" t="str">
        <f aca="false">IFERROR(INDEX(İller!$M$5:$M$85,MATCH(A124,İller!$B$5:$B$85,0)),"")</f>
        <v>Doğu Anadolu Kalkınma Ajansı</v>
      </c>
    </row>
    <row r="125" customFormat="false" ht="15" hidden="false" customHeight="false" outlineLevel="0" collapsed="false">
      <c r="A125" s="4" t="s">
        <v>1236</v>
      </c>
      <c r="B125" s="13" t="n">
        <f aca="false">IFERROR(INDEX(İller!$C$5:$C$85,MATCH(A125,İller!$B$5:$B$85,0)),"")</f>
        <v>5</v>
      </c>
      <c r="C125" s="13" t="n">
        <v>1</v>
      </c>
      <c r="D125" s="5" t="s">
        <v>1611</v>
      </c>
      <c r="E125" s="13" t="s">
        <v>164</v>
      </c>
      <c r="F125" s="5" t="str">
        <f aca="false">IFERROR(INDEX(İller!$M$5:$M$85,MATCH(A125,İller!$B$5:$B$85,0)),"")</f>
        <v>Doğu Akdeniz Kalkınma Ajansı</v>
      </c>
    </row>
    <row r="126" customFormat="false" ht="15" hidden="false" customHeight="false" outlineLevel="0" collapsed="false">
      <c r="A126" s="4" t="s">
        <v>1236</v>
      </c>
      <c r="B126" s="13" t="n">
        <f aca="false">IFERROR(INDEX(İller!$C$5:$C$85,MATCH(A126,İller!$B$5:$B$85,0)),"")</f>
        <v>5</v>
      </c>
      <c r="C126" s="13" t="n">
        <v>2</v>
      </c>
      <c r="D126" s="5" t="s">
        <v>1612</v>
      </c>
      <c r="E126" s="13" t="s">
        <v>164</v>
      </c>
      <c r="F126" s="5" t="str">
        <f aca="false">IFERROR(INDEX(İller!$M$5:$M$85,MATCH(A126,İller!$B$5:$B$85,0)),"")</f>
        <v>Doğu Akdeniz Kalkınma Ajansı</v>
      </c>
    </row>
    <row r="127" customFormat="false" ht="15" hidden="false" customHeight="false" outlineLevel="0" collapsed="false">
      <c r="A127" s="4" t="s">
        <v>1236</v>
      </c>
      <c r="B127" s="13" t="n">
        <f aca="false">IFERROR(INDEX(İller!$C$5:$C$85,MATCH(A127,İller!$B$5:$B$85,0)),"")</f>
        <v>5</v>
      </c>
      <c r="C127" s="13" t="n">
        <v>3</v>
      </c>
      <c r="D127" s="5" t="s">
        <v>1613</v>
      </c>
      <c r="E127" s="13" t="s">
        <v>164</v>
      </c>
      <c r="F127" s="5" t="str">
        <f aca="false">IFERROR(INDEX(İller!$M$5:$M$85,MATCH(A127,İller!$B$5:$B$85,0)),"")</f>
        <v>Doğu Akdeniz Kalkınma Ajansı</v>
      </c>
    </row>
    <row r="128" customFormat="false" ht="15" hidden="false" customHeight="false" outlineLevel="0" collapsed="false">
      <c r="A128" s="4" t="s">
        <v>1236</v>
      </c>
      <c r="B128" s="13" t="n">
        <f aca="false">IFERROR(INDEX(İller!$C$5:$C$85,MATCH(A128,İller!$B$5:$B$85,0)),"")</f>
        <v>5</v>
      </c>
      <c r="C128" s="13" t="n">
        <v>4</v>
      </c>
      <c r="D128" s="5" t="s">
        <v>1533</v>
      </c>
      <c r="E128" s="13" t="s">
        <v>164</v>
      </c>
      <c r="F128" s="5" t="str">
        <f aca="false">IFERROR(INDEX(İller!$M$5:$M$85,MATCH(A128,İller!$B$5:$B$85,0)),"")</f>
        <v>Doğu Akdeniz Kalkınma Ajansı</v>
      </c>
    </row>
    <row r="129" customFormat="false" ht="15" hidden="false" customHeight="false" outlineLevel="0" collapsed="false">
      <c r="A129" s="4" t="s">
        <v>1244</v>
      </c>
      <c r="B129" s="13" t="n">
        <f aca="false">IFERROR(INDEX(İller!$C$5:$C$85,MATCH(A129,İller!$B$5:$B$85,0)),"")</f>
        <v>3</v>
      </c>
      <c r="C129" s="13" t="n">
        <v>1</v>
      </c>
      <c r="D129" s="5" t="s">
        <v>1614</v>
      </c>
      <c r="E129" s="13" t="s">
        <v>164</v>
      </c>
      <c r="F129" s="5" t="str">
        <f aca="false">IFERROR(INDEX(İller!$M$5:$M$85,MATCH(A129,İller!$B$5:$B$85,0)),"")</f>
        <v>Batı Akdeniz Kalkınma Ajansı</v>
      </c>
    </row>
    <row r="130" customFormat="false" ht="15" hidden="false" customHeight="false" outlineLevel="0" collapsed="false">
      <c r="A130" s="4" t="s">
        <v>1244</v>
      </c>
      <c r="B130" s="13" t="n">
        <f aca="false">IFERROR(INDEX(İller!$C$5:$C$85,MATCH(A130,İller!$B$5:$B$85,0)),"")</f>
        <v>3</v>
      </c>
      <c r="C130" s="13" t="n">
        <v>2</v>
      </c>
      <c r="D130" s="5" t="s">
        <v>1615</v>
      </c>
      <c r="E130" s="13" t="s">
        <v>164</v>
      </c>
      <c r="F130" s="5" t="str">
        <f aca="false">IFERROR(INDEX(İller!$M$5:$M$85,MATCH(A130,İller!$B$5:$B$85,0)),"")</f>
        <v>Batı Akdeniz Kalkınma Ajansı</v>
      </c>
    </row>
    <row r="131" customFormat="false" ht="15" hidden="false" customHeight="false" outlineLevel="0" collapsed="false">
      <c r="A131" s="4" t="s">
        <v>1244</v>
      </c>
      <c r="B131" s="13" t="n">
        <f aca="false">IFERROR(INDEX(İller!$C$5:$C$85,MATCH(A131,İller!$B$5:$B$85,0)),"")</f>
        <v>3</v>
      </c>
      <c r="C131" s="13" t="n">
        <v>3</v>
      </c>
      <c r="D131" s="5" t="s">
        <v>1616</v>
      </c>
      <c r="E131" s="13" t="s">
        <v>164</v>
      </c>
      <c r="F131" s="5" t="str">
        <f aca="false">IFERROR(INDEX(İller!$M$5:$M$85,MATCH(A131,İller!$B$5:$B$85,0)),"")</f>
        <v>Batı Akdeniz Kalkınma Ajansı</v>
      </c>
    </row>
    <row r="132" customFormat="false" ht="15" hidden="false" customHeight="false" outlineLevel="0" collapsed="false">
      <c r="A132" s="4" t="s">
        <v>1244</v>
      </c>
      <c r="B132" s="13" t="n">
        <f aca="false">IFERROR(INDEX(İller!$C$5:$C$85,MATCH(A132,İller!$B$5:$B$85,0)),"")</f>
        <v>3</v>
      </c>
      <c r="C132" s="13" t="n">
        <v>4</v>
      </c>
      <c r="D132" s="5" t="s">
        <v>1555</v>
      </c>
      <c r="E132" s="13" t="s">
        <v>164</v>
      </c>
      <c r="F132" s="5" t="str">
        <f aca="false">IFERROR(INDEX(İller!$M$5:$M$85,MATCH(A132,İller!$B$5:$B$85,0)),"")</f>
        <v>Batı Akdeniz Kalkınma Ajansı</v>
      </c>
    </row>
    <row r="133" customFormat="false" ht="15" hidden="false" customHeight="false" outlineLevel="0" collapsed="false">
      <c r="A133" s="4" t="s">
        <v>1250</v>
      </c>
      <c r="B133" s="13" t="n">
        <f aca="false">IFERROR(INDEX(İller!$C$5:$C$85,MATCH(A133,İller!$B$5:$B$85,0)),"")</f>
        <v>2</v>
      </c>
      <c r="C133" s="13" t="n">
        <v>1</v>
      </c>
      <c r="D133" s="5" t="s">
        <v>1617</v>
      </c>
      <c r="E133" s="13" t="s">
        <v>164</v>
      </c>
      <c r="F133" s="5" t="str">
        <f aca="false">IFERROR(INDEX(İller!$M$5:$M$85,MATCH(A133,İller!$B$5:$B$85,0)),"")</f>
        <v>Çukurova Kalkınma Ajansı</v>
      </c>
    </row>
    <row r="134" customFormat="false" ht="15" hidden="false" customHeight="false" outlineLevel="0" collapsed="false">
      <c r="A134" s="4" t="s">
        <v>1250</v>
      </c>
      <c r="B134" s="13" t="n">
        <f aca="false">IFERROR(INDEX(İller!$C$5:$C$85,MATCH(A134,İller!$B$5:$B$85,0)),"")</f>
        <v>2</v>
      </c>
      <c r="C134" s="13" t="n">
        <v>2</v>
      </c>
      <c r="D134" s="5" t="s">
        <v>1618</v>
      </c>
      <c r="E134" s="13" t="s">
        <v>164</v>
      </c>
      <c r="F134" s="5" t="str">
        <f aca="false">IFERROR(INDEX(İller!$M$5:$M$85,MATCH(A134,İller!$B$5:$B$85,0)),"")</f>
        <v>Çukurova Kalkınma Ajansı</v>
      </c>
    </row>
    <row r="135" customFormat="false" ht="15" hidden="false" customHeight="false" outlineLevel="0" collapsed="false">
      <c r="A135" s="4" t="s">
        <v>1250</v>
      </c>
      <c r="B135" s="13" t="n">
        <f aca="false">IFERROR(INDEX(İller!$C$5:$C$85,MATCH(A135,İller!$B$5:$B$85,0)),"")</f>
        <v>2</v>
      </c>
      <c r="C135" s="13" t="n">
        <v>3</v>
      </c>
      <c r="D135" s="5" t="s">
        <v>1253</v>
      </c>
      <c r="E135" s="13" t="s">
        <v>1006</v>
      </c>
      <c r="F135" s="5" t="str">
        <f aca="false">IFERROR(INDEX(İller!$M$5:$M$85,MATCH(A135,İller!$B$5:$B$85,0)),"")</f>
        <v>Çukurova Kalkınma Ajansı</v>
      </c>
    </row>
    <row r="136" customFormat="false" ht="15" hidden="false" customHeight="false" outlineLevel="0" collapsed="false">
      <c r="A136" s="4" t="s">
        <v>1250</v>
      </c>
      <c r="B136" s="13" t="n">
        <f aca="false">IFERROR(INDEX(İller!$C$5:$C$85,MATCH(A136,İller!$B$5:$B$85,0)),"")</f>
        <v>2</v>
      </c>
      <c r="C136" s="13" t="n">
        <v>4</v>
      </c>
      <c r="D136" s="5" t="s">
        <v>1619</v>
      </c>
      <c r="E136" s="13" t="s">
        <v>164</v>
      </c>
      <c r="F136" s="5" t="str">
        <f aca="false">IFERROR(INDEX(İller!$M$5:$M$85,MATCH(A136,İller!$B$5:$B$85,0)),"")</f>
        <v>Çukurova Kalkınma Ajansı</v>
      </c>
    </row>
    <row r="137" customFormat="false" ht="15" hidden="false" customHeight="false" outlineLevel="0" collapsed="false">
      <c r="A137" s="4" t="s">
        <v>533</v>
      </c>
      <c r="B137" s="13" t="n">
        <f aca="false">IFERROR(INDEX(İller!$C$5:$C$85,MATCH(A137,İller!$B$5:$B$85,0)),"")</f>
        <v>1</v>
      </c>
      <c r="C137" s="13" t="n">
        <v>1</v>
      </c>
      <c r="D137" s="5" t="s">
        <v>1620</v>
      </c>
      <c r="E137" s="13" t="s">
        <v>164</v>
      </c>
      <c r="F137" s="5" t="str">
        <f aca="false">IFERROR(INDEX(İller!$M$5:$M$85,MATCH(A137,İller!$B$5:$B$85,0)),"")</f>
        <v>İstanbul Kalkınma Ajansı</v>
      </c>
    </row>
    <row r="138" customFormat="false" ht="15" hidden="false" customHeight="false" outlineLevel="0" collapsed="false">
      <c r="A138" s="4" t="s">
        <v>533</v>
      </c>
      <c r="B138" s="13" t="n">
        <f aca="false">IFERROR(INDEX(İller!$C$5:$C$85,MATCH(A138,İller!$B$5:$B$85,0)),"")</f>
        <v>1</v>
      </c>
      <c r="C138" s="13" t="n">
        <v>2</v>
      </c>
      <c r="D138" s="5" t="s">
        <v>1621</v>
      </c>
      <c r="E138" s="13" t="s">
        <v>164</v>
      </c>
      <c r="F138" s="5" t="str">
        <f aca="false">IFERROR(INDEX(İller!$M$5:$M$85,MATCH(A138,İller!$B$5:$B$85,0)),"")</f>
        <v>İstanbul Kalkınma Ajansı</v>
      </c>
    </row>
    <row r="139" customFormat="false" ht="15" hidden="false" customHeight="false" outlineLevel="0" collapsed="false">
      <c r="A139" s="4" t="s">
        <v>533</v>
      </c>
      <c r="B139" s="13" t="n">
        <f aca="false">IFERROR(INDEX(İller!$C$5:$C$85,MATCH(A139,İller!$B$5:$B$85,0)),"")</f>
        <v>1</v>
      </c>
      <c r="C139" s="13" t="n">
        <v>3</v>
      </c>
      <c r="D139" s="5" t="s">
        <v>1622</v>
      </c>
      <c r="E139" s="13" t="s">
        <v>164</v>
      </c>
      <c r="F139" s="5" t="str">
        <f aca="false">IFERROR(INDEX(İller!$M$5:$M$85,MATCH(A139,İller!$B$5:$B$85,0)),"")</f>
        <v>İstanbul Kalkınma Ajansı</v>
      </c>
    </row>
    <row r="140" customFormat="false" ht="15" hidden="false" customHeight="false" outlineLevel="0" collapsed="false">
      <c r="A140" s="4" t="s">
        <v>533</v>
      </c>
      <c r="B140" s="13" t="n">
        <f aca="false">IFERROR(INDEX(İller!$C$5:$C$85,MATCH(A140,İller!$B$5:$B$85,0)),"")</f>
        <v>1</v>
      </c>
      <c r="C140" s="13" t="n">
        <v>4</v>
      </c>
      <c r="D140" s="5" t="s">
        <v>1623</v>
      </c>
      <c r="E140" s="13" t="s">
        <v>164</v>
      </c>
      <c r="F140" s="5" t="str">
        <f aca="false">IFERROR(INDEX(İller!$M$5:$M$85,MATCH(A140,İller!$B$5:$B$85,0)),"")</f>
        <v>İstanbul Kalkınma Ajansı</v>
      </c>
    </row>
    <row r="141" customFormat="false" ht="15" hidden="false" customHeight="false" outlineLevel="0" collapsed="false">
      <c r="A141" s="4" t="s">
        <v>1263</v>
      </c>
      <c r="B141" s="13" t="n">
        <f aca="false">IFERROR(INDEX(İller!$C$5:$C$85,MATCH(A141,İller!$B$5:$B$85,0)),"")</f>
        <v>1</v>
      </c>
      <c r="C141" s="13" t="n">
        <v>1</v>
      </c>
      <c r="D141" s="5" t="s">
        <v>1624</v>
      </c>
      <c r="E141" s="13" t="s">
        <v>164</v>
      </c>
      <c r="F141" s="5" t="str">
        <f aca="false">IFERROR(INDEX(İller!$M$5:$M$85,MATCH(A141,İller!$B$5:$B$85,0)),"")</f>
        <v>İzmir Kalkınma Ajansı</v>
      </c>
    </row>
    <row r="142" customFormat="false" ht="15" hidden="false" customHeight="false" outlineLevel="0" collapsed="false">
      <c r="A142" s="4" t="s">
        <v>1263</v>
      </c>
      <c r="B142" s="13" t="n">
        <f aca="false">IFERROR(INDEX(İller!$C$5:$C$85,MATCH(A142,İller!$B$5:$B$85,0)),"")</f>
        <v>1</v>
      </c>
      <c r="C142" s="13" t="n">
        <v>2</v>
      </c>
      <c r="D142" s="5" t="s">
        <v>1625</v>
      </c>
      <c r="E142" s="13" t="s">
        <v>164</v>
      </c>
      <c r="F142" s="5" t="str">
        <f aca="false">IFERROR(INDEX(İller!$M$5:$M$85,MATCH(A142,İller!$B$5:$B$85,0)),"")</f>
        <v>İzmir Kalkınma Ajansı</v>
      </c>
    </row>
    <row r="143" customFormat="false" ht="15" hidden="false" customHeight="false" outlineLevel="0" collapsed="false">
      <c r="A143" s="4" t="s">
        <v>1263</v>
      </c>
      <c r="B143" s="13" t="n">
        <f aca="false">IFERROR(INDEX(İller!$C$5:$C$85,MATCH(A143,İller!$B$5:$B$85,0)),"")</f>
        <v>1</v>
      </c>
      <c r="C143" s="13" t="n">
        <v>3</v>
      </c>
      <c r="D143" s="5" t="s">
        <v>1626</v>
      </c>
      <c r="E143" s="13" t="s">
        <v>164</v>
      </c>
      <c r="F143" s="5" t="str">
        <f aca="false">IFERROR(INDEX(İller!$M$5:$M$85,MATCH(A143,İller!$B$5:$B$85,0)),"")</f>
        <v>İzmir Kalkınma Ajansı</v>
      </c>
    </row>
    <row r="144" customFormat="false" ht="15" hidden="false" customHeight="false" outlineLevel="0" collapsed="false">
      <c r="A144" s="4" t="s">
        <v>1263</v>
      </c>
      <c r="B144" s="13" t="n">
        <f aca="false">IFERROR(INDEX(İller!$C$5:$C$85,MATCH(A144,İller!$B$5:$B$85,0)),"")</f>
        <v>1</v>
      </c>
      <c r="C144" s="13" t="n">
        <v>4</v>
      </c>
      <c r="D144" s="5" t="s">
        <v>1627</v>
      </c>
      <c r="E144" s="13" t="s">
        <v>164</v>
      </c>
      <c r="F144" s="5" t="str">
        <f aca="false">IFERROR(INDEX(İller!$M$5:$M$85,MATCH(A144,İller!$B$5:$B$85,0)),"")</f>
        <v>İzmir Kalkınma Ajansı</v>
      </c>
    </row>
    <row r="145" customFormat="false" ht="15" hidden="false" customHeight="false" outlineLevel="0" collapsed="false">
      <c r="A145" s="4" t="s">
        <v>1270</v>
      </c>
      <c r="B145" s="13" t="n">
        <f aca="false">IFERROR(INDEX(İller!$C$5:$C$85,MATCH(A145,İller!$B$5:$B$85,0)),"")</f>
        <v>6</v>
      </c>
      <c r="C145" s="13" t="n">
        <v>1</v>
      </c>
      <c r="D145" s="5" t="s">
        <v>1535</v>
      </c>
      <c r="E145" s="13" t="s">
        <v>164</v>
      </c>
      <c r="F145" s="5" t="str">
        <f aca="false">IFERROR(INDEX(İller!$M$5:$M$85,MATCH(A145,İller!$B$5:$B$85,0)),"")</f>
        <v>Serhat Kalkınma Ajansı</v>
      </c>
    </row>
    <row r="146" customFormat="false" ht="15" hidden="false" customHeight="false" outlineLevel="0" collapsed="false">
      <c r="A146" s="4" t="s">
        <v>1270</v>
      </c>
      <c r="B146" s="13" t="n">
        <f aca="false">IFERROR(INDEX(İller!$C$5:$C$85,MATCH(A146,İller!$B$5:$B$85,0)),"")</f>
        <v>6</v>
      </c>
      <c r="C146" s="13" t="n">
        <v>2</v>
      </c>
      <c r="D146" s="5" t="s">
        <v>1537</v>
      </c>
      <c r="E146" s="13" t="s">
        <v>164</v>
      </c>
      <c r="F146" s="5" t="str">
        <f aca="false">IFERROR(INDEX(İller!$M$5:$M$85,MATCH(A146,İller!$B$5:$B$85,0)),"")</f>
        <v>Serhat Kalkınma Ajansı</v>
      </c>
    </row>
    <row r="147" customFormat="false" ht="15" hidden="false" customHeight="false" outlineLevel="0" collapsed="false">
      <c r="A147" s="4" t="s">
        <v>1270</v>
      </c>
      <c r="B147" s="13" t="n">
        <f aca="false">IFERROR(INDEX(İller!$C$5:$C$85,MATCH(A147,İller!$B$5:$B$85,0)),"")</f>
        <v>6</v>
      </c>
      <c r="C147" s="13" t="n">
        <v>3</v>
      </c>
      <c r="D147" s="5" t="s">
        <v>1628</v>
      </c>
      <c r="E147" s="13" t="s">
        <v>164</v>
      </c>
      <c r="F147" s="5" t="str">
        <f aca="false">IFERROR(INDEX(İller!$M$5:$M$85,MATCH(A147,İller!$B$5:$B$85,0)),"")</f>
        <v>Serhat Kalkınma Ajansı</v>
      </c>
    </row>
    <row r="148" customFormat="false" ht="15" hidden="false" customHeight="false" outlineLevel="0" collapsed="false">
      <c r="A148" s="4" t="s">
        <v>1270</v>
      </c>
      <c r="B148" s="13" t="n">
        <f aca="false">IFERROR(INDEX(İller!$C$5:$C$85,MATCH(A148,İller!$B$5:$B$85,0)),"")</f>
        <v>6</v>
      </c>
      <c r="C148" s="13" t="n">
        <v>4</v>
      </c>
      <c r="D148" s="5" t="s">
        <v>1629</v>
      </c>
      <c r="E148" s="13" t="s">
        <v>164</v>
      </c>
      <c r="F148" s="5" t="str">
        <f aca="false">IFERROR(INDEX(İller!$M$5:$M$85,MATCH(A148,İller!$B$5:$B$85,0)),"")</f>
        <v>Serhat Kalkınma Ajansı</v>
      </c>
    </row>
    <row r="149" customFormat="false" ht="15" hidden="false" customHeight="false" outlineLevel="0" collapsed="false">
      <c r="A149" s="4" t="s">
        <v>1275</v>
      </c>
      <c r="B149" s="13" t="n">
        <f aca="false">IFERROR(INDEX(İller!$C$5:$C$85,MATCH(A149,İller!$B$5:$B$85,0)),"")</f>
        <v>4</v>
      </c>
      <c r="C149" s="13" t="n">
        <v>1</v>
      </c>
      <c r="D149" s="5" t="s">
        <v>1553</v>
      </c>
      <c r="E149" s="13" t="s">
        <v>164</v>
      </c>
      <c r="F149" s="5" t="str">
        <f aca="false">IFERROR(INDEX(İller!$M$5:$M$85,MATCH(A149,İller!$B$5:$B$85,0)),"")</f>
        <v>Kuzey Anadolu Kalkınma Ajansı</v>
      </c>
    </row>
    <row r="150" customFormat="false" ht="15" hidden="false" customHeight="false" outlineLevel="0" collapsed="false">
      <c r="A150" s="4" t="s">
        <v>1275</v>
      </c>
      <c r="B150" s="13" t="n">
        <f aca="false">IFERROR(INDEX(İller!$C$5:$C$85,MATCH(A150,İller!$B$5:$B$85,0)),"")</f>
        <v>4</v>
      </c>
      <c r="C150" s="13" t="n">
        <v>2</v>
      </c>
      <c r="D150" s="5" t="s">
        <v>1554</v>
      </c>
      <c r="E150" s="13" t="s">
        <v>164</v>
      </c>
      <c r="F150" s="5" t="str">
        <f aca="false">IFERROR(INDEX(İller!$M$5:$M$85,MATCH(A150,İller!$B$5:$B$85,0)),"")</f>
        <v>Kuzey Anadolu Kalkınma Ajansı</v>
      </c>
    </row>
    <row r="151" customFormat="false" ht="15" hidden="false" customHeight="false" outlineLevel="0" collapsed="false">
      <c r="A151" s="4" t="s">
        <v>1275</v>
      </c>
      <c r="B151" s="13" t="n">
        <f aca="false">IFERROR(INDEX(İller!$C$5:$C$85,MATCH(A151,İller!$B$5:$B$85,0)),"")</f>
        <v>4</v>
      </c>
      <c r="C151" s="13" t="n">
        <v>3</v>
      </c>
      <c r="D151" s="5" t="s">
        <v>1630</v>
      </c>
      <c r="E151" s="13" t="s">
        <v>164</v>
      </c>
      <c r="F151" s="5" t="str">
        <f aca="false">IFERROR(INDEX(İller!$M$5:$M$85,MATCH(A151,İller!$B$5:$B$85,0)),"")</f>
        <v>Kuzey Anadolu Kalkınma Ajansı</v>
      </c>
    </row>
    <row r="152" customFormat="false" ht="15" hidden="false" customHeight="false" outlineLevel="0" collapsed="false">
      <c r="A152" s="4" t="s">
        <v>1275</v>
      </c>
      <c r="B152" s="13" t="n">
        <f aca="false">IFERROR(INDEX(İller!$C$5:$C$85,MATCH(A152,İller!$B$5:$B$85,0)),"")</f>
        <v>4</v>
      </c>
      <c r="C152" s="13" t="n">
        <v>4</v>
      </c>
      <c r="D152" s="5" t="s">
        <v>1556</v>
      </c>
      <c r="E152" s="13" t="s">
        <v>164</v>
      </c>
      <c r="F152" s="5" t="str">
        <f aca="false">IFERROR(INDEX(İller!$M$5:$M$85,MATCH(A152,İller!$B$5:$B$85,0)),"")</f>
        <v>Kuzey Anadolu Kalkınma Ajansı</v>
      </c>
    </row>
    <row r="153" customFormat="false" ht="15" hidden="false" customHeight="false" outlineLevel="0" collapsed="false">
      <c r="A153" s="4" t="s">
        <v>1281</v>
      </c>
      <c r="B153" s="13" t="n">
        <f aca="false">IFERROR(INDEX(İller!$C$5:$C$85,MATCH(A153,İller!$B$5:$B$85,0)),"")</f>
        <v>2</v>
      </c>
      <c r="C153" s="13" t="n">
        <v>1</v>
      </c>
      <c r="D153" s="5" t="s">
        <v>1631</v>
      </c>
      <c r="E153" s="13" t="s">
        <v>164</v>
      </c>
      <c r="F153" s="5" t="str">
        <f aca="false">IFERROR(INDEX(İller!$M$5:$M$85,MATCH(A153,İller!$B$5:$B$85,0)),"")</f>
        <v>Orta Anadolu Kalkınma Ajansı</v>
      </c>
    </row>
    <row r="154" customFormat="false" ht="15" hidden="false" customHeight="false" outlineLevel="0" collapsed="false">
      <c r="A154" s="4" t="s">
        <v>1281</v>
      </c>
      <c r="B154" s="13" t="n">
        <f aca="false">IFERROR(INDEX(İller!$C$5:$C$85,MATCH(A154,İller!$B$5:$B$85,0)),"")</f>
        <v>2</v>
      </c>
      <c r="C154" s="13" t="n">
        <v>2</v>
      </c>
      <c r="D154" s="5" t="s">
        <v>1632</v>
      </c>
      <c r="E154" s="13" t="s">
        <v>164</v>
      </c>
      <c r="F154" s="5" t="str">
        <f aca="false">IFERROR(INDEX(İller!$M$5:$M$85,MATCH(A154,İller!$B$5:$B$85,0)),"")</f>
        <v>Orta Anadolu Kalkınma Ajansı</v>
      </c>
    </row>
    <row r="155" customFormat="false" ht="15" hidden="false" customHeight="false" outlineLevel="0" collapsed="false">
      <c r="A155" s="4" t="s">
        <v>1281</v>
      </c>
      <c r="B155" s="13" t="n">
        <f aca="false">IFERROR(INDEX(İller!$C$5:$C$85,MATCH(A155,İller!$B$5:$B$85,0)),"")</f>
        <v>2</v>
      </c>
      <c r="C155" s="13" t="n">
        <v>3</v>
      </c>
      <c r="D155" s="5" t="s">
        <v>1633</v>
      </c>
      <c r="E155" s="13" t="s">
        <v>164</v>
      </c>
      <c r="F155" s="5" t="str">
        <f aca="false">IFERROR(INDEX(İller!$M$5:$M$85,MATCH(A155,İller!$B$5:$B$85,0)),"")</f>
        <v>Orta Anadolu Kalkınma Ajansı</v>
      </c>
    </row>
    <row r="156" customFormat="false" ht="15" hidden="false" customHeight="false" outlineLevel="0" collapsed="false">
      <c r="A156" s="4" t="s">
        <v>1281</v>
      </c>
      <c r="B156" s="13" t="n">
        <f aca="false">IFERROR(INDEX(İller!$C$5:$C$85,MATCH(A156,İller!$B$5:$B$85,0)),"")</f>
        <v>2</v>
      </c>
      <c r="C156" s="13" t="n">
        <v>4</v>
      </c>
      <c r="D156" s="5" t="s">
        <v>1548</v>
      </c>
      <c r="E156" s="13" t="s">
        <v>164</v>
      </c>
      <c r="F156" s="5" t="str">
        <f aca="false">IFERROR(INDEX(İller!$M$5:$M$85,MATCH(A156,İller!$B$5:$B$85,0)),"")</f>
        <v>Orta Anadolu Kalkınma Ajansı</v>
      </c>
    </row>
    <row r="157" customFormat="false" ht="15" hidden="false" customHeight="false" outlineLevel="0" collapsed="false">
      <c r="A157" s="4" t="s">
        <v>1288</v>
      </c>
      <c r="B157" s="13" t="n">
        <f aca="false">IFERROR(INDEX(İller!$C$5:$C$85,MATCH(A157,İller!$B$5:$B$85,0)),"")</f>
        <v>3</v>
      </c>
      <c r="C157" s="13" t="n">
        <v>1</v>
      </c>
      <c r="D157" s="5" t="s">
        <v>1543</v>
      </c>
      <c r="E157" s="13" t="s">
        <v>164</v>
      </c>
      <c r="F157" s="5" t="str">
        <f aca="false">IFERROR(INDEX(İller!$M$5:$M$85,MATCH(A157,İller!$B$5:$B$85,0)),"")</f>
        <v>Trakya Kalkınma Ajansı</v>
      </c>
    </row>
    <row r="158" customFormat="false" ht="15" hidden="false" customHeight="false" outlineLevel="0" collapsed="false">
      <c r="A158" s="4" t="s">
        <v>1288</v>
      </c>
      <c r="B158" s="13" t="n">
        <f aca="false">IFERROR(INDEX(İller!$C$5:$C$85,MATCH(A158,İller!$B$5:$B$85,0)),"")</f>
        <v>3</v>
      </c>
      <c r="C158" s="13" t="n">
        <v>2</v>
      </c>
      <c r="D158" s="5" t="s">
        <v>1291</v>
      </c>
      <c r="E158" s="13" t="s">
        <v>1006</v>
      </c>
      <c r="F158" s="5" t="str">
        <f aca="false">IFERROR(INDEX(İller!$M$5:$M$85,MATCH(A158,İller!$B$5:$B$85,0)),"")</f>
        <v>Trakya Kalkınma Ajansı</v>
      </c>
    </row>
    <row r="159" customFormat="false" ht="15" hidden="false" customHeight="false" outlineLevel="0" collapsed="false">
      <c r="A159" s="4" t="s">
        <v>1288</v>
      </c>
      <c r="B159" s="13" t="n">
        <f aca="false">IFERROR(INDEX(İller!$C$5:$C$85,MATCH(A159,İller!$B$5:$B$85,0)),"")</f>
        <v>3</v>
      </c>
      <c r="C159" s="13" t="n">
        <v>3</v>
      </c>
      <c r="D159" s="5" t="s">
        <v>1592</v>
      </c>
      <c r="E159" s="13" t="s">
        <v>164</v>
      </c>
      <c r="F159" s="5" t="str">
        <f aca="false">IFERROR(INDEX(İller!$M$5:$M$85,MATCH(A159,İller!$B$5:$B$85,0)),"")</f>
        <v>Trakya Kalkınma Ajansı</v>
      </c>
    </row>
    <row r="160" customFormat="false" ht="15" hidden="false" customHeight="false" outlineLevel="0" collapsed="false">
      <c r="A160" s="4" t="s">
        <v>1288</v>
      </c>
      <c r="B160" s="13" t="n">
        <f aca="false">IFERROR(INDEX(İller!$C$5:$C$85,MATCH(A160,İller!$B$5:$B$85,0)),"")</f>
        <v>3</v>
      </c>
      <c r="C160" s="13" t="n">
        <v>4</v>
      </c>
      <c r="D160" s="5" t="s">
        <v>1557</v>
      </c>
      <c r="E160" s="13" t="s">
        <v>164</v>
      </c>
      <c r="F160" s="5" t="str">
        <f aca="false">IFERROR(INDEX(İller!$M$5:$M$85,MATCH(A160,İller!$B$5:$B$85,0)),"")</f>
        <v>Trakya Kalkınma Ajansı</v>
      </c>
    </row>
    <row r="161" customFormat="false" ht="15" hidden="false" customHeight="false" outlineLevel="0" collapsed="false">
      <c r="A161" s="4" t="s">
        <v>1294</v>
      </c>
      <c r="B161" s="13" t="n">
        <f aca="false">IFERROR(INDEX(İller!$C$5:$C$85,MATCH(A161,İller!$B$5:$B$85,0)),"")</f>
        <v>4</v>
      </c>
      <c r="C161" s="13" t="n">
        <v>1</v>
      </c>
      <c r="D161" s="5" t="s">
        <v>1068</v>
      </c>
      <c r="E161" s="13" t="s">
        <v>1006</v>
      </c>
      <c r="F161" s="5" t="str">
        <f aca="false">IFERROR(INDEX(İller!$M$5:$M$85,MATCH(A161,İller!$B$5:$B$85,0)),"")</f>
        <v>Ahiler Kalkınma Ajansı</v>
      </c>
    </row>
    <row r="162" customFormat="false" ht="15" hidden="false" customHeight="false" outlineLevel="0" collapsed="false">
      <c r="A162" s="4" t="s">
        <v>1294</v>
      </c>
      <c r="B162" s="13" t="n">
        <f aca="false">IFERROR(INDEX(İller!$C$5:$C$85,MATCH(A162,İller!$B$5:$B$85,0)),"")</f>
        <v>4</v>
      </c>
      <c r="C162" s="13" t="n">
        <v>2</v>
      </c>
      <c r="D162" s="5" t="s">
        <v>1563</v>
      </c>
      <c r="E162" s="13" t="s">
        <v>164</v>
      </c>
      <c r="F162" s="5" t="str">
        <f aca="false">IFERROR(INDEX(İller!$M$5:$M$85,MATCH(A162,İller!$B$5:$B$85,0)),"")</f>
        <v>Ahiler Kalkınma Ajansı</v>
      </c>
    </row>
    <row r="163" customFormat="false" ht="15" hidden="false" customHeight="false" outlineLevel="0" collapsed="false">
      <c r="A163" s="4" t="s">
        <v>1294</v>
      </c>
      <c r="B163" s="13" t="n">
        <f aca="false">IFERROR(INDEX(İller!$C$5:$C$85,MATCH(A163,İller!$B$5:$B$85,0)),"")</f>
        <v>4</v>
      </c>
      <c r="C163" s="13" t="n">
        <v>3</v>
      </c>
      <c r="D163" s="5" t="s">
        <v>1634</v>
      </c>
      <c r="E163" s="13" t="s">
        <v>164</v>
      </c>
      <c r="F163" s="5" t="str">
        <f aca="false">IFERROR(INDEX(İller!$M$5:$M$85,MATCH(A163,İller!$B$5:$B$85,0)),"")</f>
        <v>Ahiler Kalkınma Ajansı</v>
      </c>
    </row>
    <row r="164" customFormat="false" ht="15" hidden="false" customHeight="false" outlineLevel="0" collapsed="false">
      <c r="A164" s="4" t="s">
        <v>1294</v>
      </c>
      <c r="B164" s="13" t="n">
        <f aca="false">IFERROR(INDEX(İller!$C$5:$C$85,MATCH(A164,İller!$B$5:$B$85,0)),"")</f>
        <v>4</v>
      </c>
      <c r="C164" s="13" t="n">
        <v>4</v>
      </c>
      <c r="D164" s="5" t="s">
        <v>1635</v>
      </c>
      <c r="E164" s="13" t="s">
        <v>164</v>
      </c>
      <c r="F164" s="5" t="str">
        <f aca="false">IFERROR(INDEX(İller!$M$5:$M$85,MATCH(A164,İller!$B$5:$B$85,0)),"")</f>
        <v>Ahiler Kalkınma Ajansı</v>
      </c>
    </row>
    <row r="165" customFormat="false" ht="15" hidden="false" customHeight="false" outlineLevel="0" collapsed="false">
      <c r="A165" s="4" t="s">
        <v>1302</v>
      </c>
      <c r="B165" s="13" t="n">
        <f aca="false">IFERROR(INDEX(İller!$C$5:$C$85,MATCH(A165,İller!$B$5:$B$85,0)),"")</f>
        <v>1</v>
      </c>
      <c r="C165" s="13" t="n">
        <v>1</v>
      </c>
      <c r="D165" s="5" t="s">
        <v>1636</v>
      </c>
      <c r="E165" s="13" t="s">
        <v>164</v>
      </c>
      <c r="F165" s="5" t="str">
        <f aca="false">IFERROR(INDEX(İller!$M$5:$M$85,MATCH(A165,İller!$B$5:$B$85,0)),"")</f>
        <v>Doğu Marmara Kalkınma Ajansı</v>
      </c>
    </row>
    <row r="166" customFormat="false" ht="15" hidden="false" customHeight="false" outlineLevel="0" collapsed="false">
      <c r="A166" s="4" t="s">
        <v>1302</v>
      </c>
      <c r="B166" s="13" t="n">
        <f aca="false">IFERROR(INDEX(İller!$C$5:$C$85,MATCH(A166,İller!$B$5:$B$85,0)),"")</f>
        <v>1</v>
      </c>
      <c r="C166" s="13" t="n">
        <v>2</v>
      </c>
      <c r="D166" s="5" t="s">
        <v>1637</v>
      </c>
      <c r="E166" s="13" t="s">
        <v>164</v>
      </c>
      <c r="F166" s="5" t="str">
        <f aca="false">IFERROR(INDEX(İller!$M$5:$M$85,MATCH(A166,İller!$B$5:$B$85,0)),"")</f>
        <v>Doğu Marmara Kalkınma Ajansı</v>
      </c>
    </row>
    <row r="167" customFormat="false" ht="15" hidden="false" customHeight="false" outlineLevel="0" collapsed="false">
      <c r="A167" s="4" t="s">
        <v>1302</v>
      </c>
      <c r="B167" s="13" t="n">
        <f aca="false">IFERROR(INDEX(İller!$C$5:$C$85,MATCH(A167,İller!$B$5:$B$85,0)),"")</f>
        <v>1</v>
      </c>
      <c r="C167" s="13" t="n">
        <v>3</v>
      </c>
      <c r="D167" s="5" t="s">
        <v>1638</v>
      </c>
      <c r="E167" s="13" t="s">
        <v>164</v>
      </c>
      <c r="F167" s="5" t="str">
        <f aca="false">IFERROR(INDEX(İller!$M$5:$M$85,MATCH(A167,İller!$B$5:$B$85,0)),"")</f>
        <v>Doğu Marmara Kalkınma Ajansı</v>
      </c>
    </row>
    <row r="168" customFormat="false" ht="15" hidden="false" customHeight="false" outlineLevel="0" collapsed="false">
      <c r="A168" s="4" t="s">
        <v>1302</v>
      </c>
      <c r="B168" s="13" t="n">
        <f aca="false">IFERROR(INDEX(İller!$C$5:$C$85,MATCH(A168,İller!$B$5:$B$85,0)),"")</f>
        <v>1</v>
      </c>
      <c r="C168" s="13" t="n">
        <v>4</v>
      </c>
      <c r="D168" s="5" t="s">
        <v>1639</v>
      </c>
      <c r="E168" s="13" t="s">
        <v>164</v>
      </c>
      <c r="F168" s="5" t="str">
        <f aca="false">IFERROR(INDEX(İller!$M$5:$M$85,MATCH(A168,İller!$B$5:$B$85,0)),"")</f>
        <v>Doğu Marmara Kalkınma Ajansı</v>
      </c>
    </row>
    <row r="169" customFormat="false" ht="15" hidden="false" customHeight="false" outlineLevel="0" collapsed="false">
      <c r="A169" s="4" t="s">
        <v>1307</v>
      </c>
      <c r="B169" s="13" t="n">
        <f aca="false">IFERROR(INDEX(İller!$C$5:$C$85,MATCH(A169,İller!$B$5:$B$85,0)),"")</f>
        <v>2</v>
      </c>
      <c r="C169" s="13" t="n">
        <v>1</v>
      </c>
      <c r="D169" s="5" t="s">
        <v>1555</v>
      </c>
      <c r="E169" s="13" t="s">
        <v>164</v>
      </c>
      <c r="F169" s="5" t="str">
        <f aca="false">IFERROR(INDEX(İller!$M$5:$M$85,MATCH(A169,İller!$B$5:$B$85,0)),"")</f>
        <v>Mevlana Kalkınma Ajansı</v>
      </c>
    </row>
    <row r="170" customFormat="false" ht="15" hidden="false" customHeight="false" outlineLevel="0" collapsed="false">
      <c r="A170" s="4" t="s">
        <v>1307</v>
      </c>
      <c r="B170" s="13" t="n">
        <f aca="false">IFERROR(INDEX(İller!$C$5:$C$85,MATCH(A170,İller!$B$5:$B$85,0)),"")</f>
        <v>2</v>
      </c>
      <c r="C170" s="13" t="n">
        <v>2</v>
      </c>
      <c r="D170" s="5" t="s">
        <v>1640</v>
      </c>
      <c r="E170" s="13" t="s">
        <v>164</v>
      </c>
      <c r="F170" s="5" t="str">
        <f aca="false">IFERROR(INDEX(İller!$M$5:$M$85,MATCH(A170,İller!$B$5:$B$85,0)),"")</f>
        <v>Mevlana Kalkınma Ajansı</v>
      </c>
    </row>
    <row r="171" customFormat="false" ht="15" hidden="false" customHeight="false" outlineLevel="0" collapsed="false">
      <c r="A171" s="4" t="s">
        <v>1307</v>
      </c>
      <c r="B171" s="13" t="n">
        <f aca="false">IFERROR(INDEX(İller!$C$5:$C$85,MATCH(A171,İller!$B$5:$B$85,0)),"")</f>
        <v>2</v>
      </c>
      <c r="C171" s="13" t="n">
        <v>3</v>
      </c>
      <c r="D171" s="5" t="s">
        <v>1641</v>
      </c>
      <c r="E171" s="13" t="s">
        <v>164</v>
      </c>
      <c r="F171" s="5" t="str">
        <f aca="false">IFERROR(INDEX(İller!$M$5:$M$85,MATCH(A171,İller!$B$5:$B$85,0)),"")</f>
        <v>Mevlana Kalkınma Ajansı</v>
      </c>
    </row>
    <row r="172" customFormat="false" ht="15" hidden="false" customHeight="false" outlineLevel="0" collapsed="false">
      <c r="A172" s="4" t="s">
        <v>1307</v>
      </c>
      <c r="B172" s="13" t="n">
        <f aca="false">IFERROR(INDEX(İller!$C$5:$C$85,MATCH(A172,İller!$B$5:$B$85,0)),"")</f>
        <v>2</v>
      </c>
      <c r="C172" s="13" t="n">
        <v>4</v>
      </c>
      <c r="D172" s="5" t="s">
        <v>1642</v>
      </c>
      <c r="E172" s="13" t="s">
        <v>164</v>
      </c>
      <c r="F172" s="5" t="str">
        <f aca="false">IFERROR(INDEX(İller!$M$5:$M$85,MATCH(A172,İller!$B$5:$B$85,0)),"")</f>
        <v>Mevlana Kalkınma Ajansı</v>
      </c>
    </row>
    <row r="173" customFormat="false" ht="15" hidden="false" customHeight="false" outlineLevel="0" collapsed="false">
      <c r="A173" s="4" t="s">
        <v>1315</v>
      </c>
      <c r="B173" s="13" t="n">
        <f aca="false">IFERROR(INDEX(İller!$C$5:$C$85,MATCH(A173,İller!$B$5:$B$85,0)),"")</f>
        <v>3</v>
      </c>
      <c r="C173" s="13" t="n">
        <v>1</v>
      </c>
      <c r="D173" s="5" t="s">
        <v>1643</v>
      </c>
      <c r="E173" s="13" t="s">
        <v>164</v>
      </c>
      <c r="F173" s="5" t="str">
        <f aca="false">IFERROR(INDEX(İller!$M$5:$M$85,MATCH(A173,İller!$B$5:$B$85,0)),"")</f>
        <v>Zafer Kalkınma Ajansı</v>
      </c>
    </row>
    <row r="174" customFormat="false" ht="15" hidden="false" customHeight="false" outlineLevel="0" collapsed="false">
      <c r="A174" s="4" t="s">
        <v>1315</v>
      </c>
      <c r="B174" s="13" t="n">
        <f aca="false">IFERROR(INDEX(İller!$C$5:$C$85,MATCH(A174,İller!$B$5:$B$85,0)),"")</f>
        <v>3</v>
      </c>
      <c r="C174" s="13" t="n">
        <v>2</v>
      </c>
      <c r="D174" s="5" t="s">
        <v>1644</v>
      </c>
      <c r="E174" s="13" t="s">
        <v>164</v>
      </c>
      <c r="F174" s="5" t="str">
        <f aca="false">IFERROR(INDEX(İller!$M$5:$M$85,MATCH(A174,İller!$B$5:$B$85,0)),"")</f>
        <v>Zafer Kalkınma Ajansı</v>
      </c>
    </row>
    <row r="175" customFormat="false" ht="15" hidden="false" customHeight="false" outlineLevel="0" collapsed="false">
      <c r="A175" s="4" t="s">
        <v>1315</v>
      </c>
      <c r="B175" s="13" t="n">
        <f aca="false">IFERROR(INDEX(İller!$C$5:$C$85,MATCH(A175,İller!$B$5:$B$85,0)),"")</f>
        <v>3</v>
      </c>
      <c r="C175" s="13" t="n">
        <v>3</v>
      </c>
      <c r="D175" s="5" t="s">
        <v>1645</v>
      </c>
      <c r="E175" s="13" t="s">
        <v>164</v>
      </c>
      <c r="F175" s="5" t="str">
        <f aca="false">IFERROR(INDEX(İller!$M$5:$M$85,MATCH(A175,İller!$B$5:$B$85,0)),"")</f>
        <v>Zafer Kalkınma Ajansı</v>
      </c>
    </row>
    <row r="176" customFormat="false" ht="15" hidden="false" customHeight="false" outlineLevel="0" collapsed="false">
      <c r="A176" s="4" t="s">
        <v>1315</v>
      </c>
      <c r="B176" s="13" t="n">
        <f aca="false">IFERROR(INDEX(İller!$C$5:$C$85,MATCH(A176,İller!$B$5:$B$85,0)),"")</f>
        <v>3</v>
      </c>
      <c r="C176" s="13" t="n">
        <v>4</v>
      </c>
      <c r="D176" s="5" t="s">
        <v>1646</v>
      </c>
      <c r="E176" s="13" t="s">
        <v>164</v>
      </c>
      <c r="F176" s="5" t="str">
        <f aca="false">IFERROR(INDEX(İller!$M$5:$M$85,MATCH(A176,İller!$B$5:$B$85,0)),"")</f>
        <v>Zafer Kalkınma Ajansı</v>
      </c>
    </row>
    <row r="177" customFormat="false" ht="15" hidden="false" customHeight="false" outlineLevel="0" collapsed="false">
      <c r="A177" s="4" t="s">
        <v>1321</v>
      </c>
      <c r="B177" s="13" t="n">
        <f aca="false">IFERROR(INDEX(İller!$C$5:$C$85,MATCH(A177,İller!$B$5:$B$85,0)),"")</f>
        <v>4</v>
      </c>
      <c r="C177" s="13" t="n">
        <v>1</v>
      </c>
      <c r="D177" s="5" t="s">
        <v>1589</v>
      </c>
      <c r="E177" s="13" t="s">
        <v>164</v>
      </c>
      <c r="F177" s="5" t="str">
        <f aca="false">IFERROR(INDEX(İller!$M$5:$M$85,MATCH(A177,İller!$B$5:$B$85,0)),"")</f>
        <v>Fırat Kalkınma Ajansı</v>
      </c>
    </row>
    <row r="178" customFormat="false" ht="15" hidden="false" customHeight="false" outlineLevel="0" collapsed="false">
      <c r="A178" s="4" t="s">
        <v>1321</v>
      </c>
      <c r="B178" s="13" t="n">
        <f aca="false">IFERROR(INDEX(İller!$C$5:$C$85,MATCH(A178,İller!$B$5:$B$85,0)),"")</f>
        <v>4</v>
      </c>
      <c r="C178" s="13" t="n">
        <v>2</v>
      </c>
      <c r="D178" s="5" t="s">
        <v>1324</v>
      </c>
      <c r="E178" s="13" t="s">
        <v>1006</v>
      </c>
      <c r="F178" s="5" t="str">
        <f aca="false">IFERROR(INDEX(İller!$M$5:$M$85,MATCH(A178,İller!$B$5:$B$85,0)),"")</f>
        <v>Fırat Kalkınma Ajansı</v>
      </c>
    </row>
    <row r="179" customFormat="false" ht="15" hidden="false" customHeight="false" outlineLevel="0" collapsed="false">
      <c r="A179" s="4" t="s">
        <v>1321</v>
      </c>
      <c r="B179" s="13" t="n">
        <f aca="false">IFERROR(INDEX(İller!$C$5:$C$85,MATCH(A179,İller!$B$5:$B$85,0)),"")</f>
        <v>4</v>
      </c>
      <c r="C179" s="13" t="n">
        <v>3</v>
      </c>
      <c r="D179" s="5" t="s">
        <v>1647</v>
      </c>
      <c r="E179" s="13" t="s">
        <v>164</v>
      </c>
      <c r="F179" s="5" t="str">
        <f aca="false">IFERROR(INDEX(İller!$M$5:$M$85,MATCH(A179,İller!$B$5:$B$85,0)),"")</f>
        <v>Fırat Kalkınma Ajansı</v>
      </c>
    </row>
    <row r="180" customFormat="false" ht="15" hidden="false" customHeight="false" outlineLevel="0" collapsed="false">
      <c r="A180" s="4" t="s">
        <v>1321</v>
      </c>
      <c r="B180" s="13" t="n">
        <f aca="false">IFERROR(INDEX(İller!$C$5:$C$85,MATCH(A180,İller!$B$5:$B$85,0)),"")</f>
        <v>4</v>
      </c>
      <c r="C180" s="13" t="n">
        <v>4</v>
      </c>
      <c r="D180" s="5" t="s">
        <v>1548</v>
      </c>
      <c r="E180" s="13" t="s">
        <v>164</v>
      </c>
      <c r="F180" s="5" t="str">
        <f aca="false">IFERROR(INDEX(İller!$M$5:$M$85,MATCH(A180,İller!$B$5:$B$85,0)),"")</f>
        <v>Fırat Kalkınma Ajansı</v>
      </c>
    </row>
    <row r="181" customFormat="false" ht="15" hidden="false" customHeight="false" outlineLevel="0" collapsed="false">
      <c r="A181" s="4" t="s">
        <v>1328</v>
      </c>
      <c r="B181" s="13" t="n">
        <f aca="false">IFERROR(INDEX(İller!$C$5:$C$85,MATCH(A181,İller!$B$5:$B$85,0)),"")</f>
        <v>2</v>
      </c>
      <c r="C181" s="13" t="n">
        <v>1</v>
      </c>
      <c r="D181" s="5" t="s">
        <v>1555</v>
      </c>
      <c r="E181" s="13" t="s">
        <v>164</v>
      </c>
      <c r="F181" s="5" t="str">
        <f aca="false">IFERROR(INDEX(İller!$M$5:$M$85,MATCH(A181,İller!$B$5:$B$85,0)),"")</f>
        <v>Zafer Kalkınma Ajansı</v>
      </c>
    </row>
    <row r="182" customFormat="false" ht="15" hidden="false" customHeight="false" outlineLevel="0" collapsed="false">
      <c r="A182" s="4" t="s">
        <v>1328</v>
      </c>
      <c r="B182" s="13" t="n">
        <f aca="false">IFERROR(INDEX(İller!$C$5:$C$85,MATCH(A182,İller!$B$5:$B$85,0)),"")</f>
        <v>2</v>
      </c>
      <c r="C182" s="13" t="n">
        <v>2</v>
      </c>
      <c r="D182" s="5" t="s">
        <v>1068</v>
      </c>
      <c r="E182" s="13" t="s">
        <v>1006</v>
      </c>
      <c r="F182" s="5" t="str">
        <f aca="false">IFERROR(INDEX(İller!$M$5:$M$85,MATCH(A182,İller!$B$5:$B$85,0)),"")</f>
        <v>Zafer Kalkınma Ajansı</v>
      </c>
    </row>
    <row r="183" customFormat="false" ht="15" hidden="false" customHeight="false" outlineLevel="0" collapsed="false">
      <c r="A183" s="4" t="s">
        <v>1328</v>
      </c>
      <c r="B183" s="13" t="n">
        <f aca="false">IFERROR(INDEX(İller!$C$5:$C$85,MATCH(A183,İller!$B$5:$B$85,0)),"")</f>
        <v>2</v>
      </c>
      <c r="C183" s="13" t="n">
        <v>3</v>
      </c>
      <c r="D183" s="5" t="s">
        <v>1648</v>
      </c>
      <c r="E183" s="13" t="s">
        <v>1006</v>
      </c>
      <c r="F183" s="5" t="str">
        <f aca="false">IFERROR(INDEX(İller!$M$5:$M$85,MATCH(A183,İller!$B$5:$B$85,0)),"")</f>
        <v>Zafer Kalkınma Ajansı</v>
      </c>
    </row>
    <row r="184" customFormat="false" ht="15" hidden="false" customHeight="false" outlineLevel="0" collapsed="false">
      <c r="A184" s="4" t="s">
        <v>1328</v>
      </c>
      <c r="B184" s="13" t="n">
        <f aca="false">IFERROR(INDEX(İller!$C$5:$C$85,MATCH(A184,İller!$B$5:$B$85,0)),"")</f>
        <v>2</v>
      </c>
      <c r="C184" s="13" t="n">
        <v>4</v>
      </c>
      <c r="D184" s="5" t="s">
        <v>1649</v>
      </c>
      <c r="E184" s="13" t="s">
        <v>164</v>
      </c>
      <c r="F184" s="5" t="str">
        <f aca="false">IFERROR(INDEX(İller!$M$5:$M$85,MATCH(A184,İller!$B$5:$B$85,0)),"")</f>
        <v>Zafer Kalkınma Ajansı</v>
      </c>
    </row>
    <row r="185" customFormat="false" ht="15" hidden="false" customHeight="false" outlineLevel="0" collapsed="false">
      <c r="A185" s="4" t="s">
        <v>1334</v>
      </c>
      <c r="B185" s="13" t="n">
        <f aca="false">IFERROR(INDEX(İller!$C$5:$C$85,MATCH(A185,İller!$B$5:$B$85,0)),"")</f>
        <v>5</v>
      </c>
      <c r="C185" s="13" t="n">
        <v>1</v>
      </c>
      <c r="D185" s="5" t="s">
        <v>1650</v>
      </c>
      <c r="E185" s="13" t="s">
        <v>164</v>
      </c>
      <c r="F185" s="5" t="str">
        <f aca="false">IFERROR(INDEX(İller!$M$5:$M$85,MATCH(A185,İller!$B$5:$B$85,0)),"")</f>
        <v>Doğu Akdeniz Kalkınma Ajansı</v>
      </c>
    </row>
    <row r="186" customFormat="false" ht="15" hidden="false" customHeight="false" outlineLevel="0" collapsed="false">
      <c r="A186" s="4" t="s">
        <v>1334</v>
      </c>
      <c r="B186" s="13" t="n">
        <f aca="false">IFERROR(INDEX(İller!$C$5:$C$85,MATCH(A186,İller!$B$5:$B$85,0)),"")</f>
        <v>5</v>
      </c>
      <c r="C186" s="13" t="n">
        <v>2</v>
      </c>
      <c r="D186" s="5" t="s">
        <v>1590</v>
      </c>
      <c r="E186" s="13" t="s">
        <v>164</v>
      </c>
      <c r="F186" s="5" t="str">
        <f aca="false">IFERROR(INDEX(İller!$M$5:$M$85,MATCH(A186,İller!$B$5:$B$85,0)),"")</f>
        <v>Doğu Akdeniz Kalkınma Ajansı</v>
      </c>
    </row>
    <row r="187" customFormat="false" ht="15" hidden="false" customHeight="false" outlineLevel="0" collapsed="false">
      <c r="A187" s="4" t="s">
        <v>1334</v>
      </c>
      <c r="B187" s="13" t="n">
        <f aca="false">IFERROR(INDEX(İller!$C$5:$C$85,MATCH(A187,İller!$B$5:$B$85,0)),"")</f>
        <v>5</v>
      </c>
      <c r="C187" s="13" t="n">
        <v>3</v>
      </c>
      <c r="D187" s="5" t="s">
        <v>1651</v>
      </c>
      <c r="E187" s="13" t="s">
        <v>164</v>
      </c>
      <c r="F187" s="5" t="str">
        <f aca="false">IFERROR(INDEX(İller!$M$5:$M$85,MATCH(A187,İller!$B$5:$B$85,0)),"")</f>
        <v>Doğu Akdeniz Kalkınma Ajansı</v>
      </c>
    </row>
    <row r="188" customFormat="false" ht="15" hidden="false" customHeight="false" outlineLevel="0" collapsed="false">
      <c r="A188" s="4" t="s">
        <v>1334</v>
      </c>
      <c r="B188" s="13" t="n">
        <f aca="false">IFERROR(INDEX(İller!$C$5:$C$85,MATCH(A188,İller!$B$5:$B$85,0)),"")</f>
        <v>5</v>
      </c>
      <c r="C188" s="13" t="n">
        <v>4</v>
      </c>
      <c r="D188" s="5" t="s">
        <v>1574</v>
      </c>
      <c r="E188" s="13" t="s">
        <v>164</v>
      </c>
      <c r="F188" s="5" t="str">
        <f aca="false">IFERROR(INDEX(İller!$M$5:$M$85,MATCH(A188,İller!$B$5:$B$85,0)),"")</f>
        <v>Doğu Akdeniz Kalkınma Ajansı</v>
      </c>
    </row>
    <row r="189" customFormat="false" ht="15" hidden="false" customHeight="false" outlineLevel="0" collapsed="false">
      <c r="A189" s="4" t="s">
        <v>1340</v>
      </c>
      <c r="B189" s="13" t="n">
        <f aca="false">IFERROR(INDEX(İller!$C$5:$C$85,MATCH(A189,İller!$B$5:$B$85,0)),"")</f>
        <v>6</v>
      </c>
      <c r="C189" s="13" t="n">
        <v>1</v>
      </c>
      <c r="D189" s="5" t="s">
        <v>1652</v>
      </c>
      <c r="E189" s="13" t="s">
        <v>164</v>
      </c>
      <c r="F189" s="5" t="str">
        <f aca="false">IFERROR(INDEX(İller!$M$5:$M$85,MATCH(A189,İller!$B$5:$B$85,0)),"")</f>
        <v>Dicle Kalkınma Ajansı</v>
      </c>
    </row>
    <row r="190" customFormat="false" ht="15" hidden="false" customHeight="false" outlineLevel="0" collapsed="false">
      <c r="A190" s="4" t="s">
        <v>1340</v>
      </c>
      <c r="B190" s="13" t="n">
        <f aca="false">IFERROR(INDEX(İller!$C$5:$C$85,MATCH(A190,İller!$B$5:$B$85,0)),"")</f>
        <v>6</v>
      </c>
      <c r="C190" s="13" t="n">
        <v>2</v>
      </c>
      <c r="D190" s="5" t="s">
        <v>1653</v>
      </c>
      <c r="E190" s="13" t="s">
        <v>164</v>
      </c>
      <c r="F190" s="5" t="str">
        <f aca="false">IFERROR(INDEX(İller!$M$5:$M$85,MATCH(A190,İller!$B$5:$B$85,0)),"")</f>
        <v>Dicle Kalkınma Ajansı</v>
      </c>
    </row>
    <row r="191" customFormat="false" ht="15" hidden="false" customHeight="false" outlineLevel="0" collapsed="false">
      <c r="A191" s="4" t="s">
        <v>1340</v>
      </c>
      <c r="B191" s="13" t="n">
        <f aca="false">IFERROR(INDEX(İller!$C$5:$C$85,MATCH(A191,İller!$B$5:$B$85,0)),"")</f>
        <v>6</v>
      </c>
      <c r="C191" s="13" t="n">
        <v>3</v>
      </c>
      <c r="D191" s="5" t="s">
        <v>1654</v>
      </c>
      <c r="E191" s="13" t="s">
        <v>164</v>
      </c>
      <c r="F191" s="5" t="str">
        <f aca="false">IFERROR(INDEX(İller!$M$5:$M$85,MATCH(A191,İller!$B$5:$B$85,0)),"")</f>
        <v>Dicle Kalkınma Ajansı</v>
      </c>
    </row>
    <row r="192" customFormat="false" ht="15" hidden="false" customHeight="false" outlineLevel="0" collapsed="false">
      <c r="A192" s="4" t="s">
        <v>1340</v>
      </c>
      <c r="B192" s="13" t="n">
        <f aca="false">IFERROR(INDEX(İller!$C$5:$C$85,MATCH(A192,İller!$B$5:$B$85,0)),"")</f>
        <v>6</v>
      </c>
      <c r="C192" s="13" t="n">
        <v>4</v>
      </c>
      <c r="D192" s="5" t="s">
        <v>1592</v>
      </c>
      <c r="E192" s="13" t="s">
        <v>164</v>
      </c>
      <c r="F192" s="5" t="str">
        <f aca="false">IFERROR(INDEX(İller!$M$5:$M$85,MATCH(A192,İller!$B$5:$B$85,0)),"")</f>
        <v>Dicle Kalkınma Ajansı</v>
      </c>
    </row>
    <row r="193" customFormat="false" ht="15" hidden="false" customHeight="false" outlineLevel="0" collapsed="false">
      <c r="A193" s="4" t="s">
        <v>1346</v>
      </c>
      <c r="B193" s="13" t="n">
        <f aca="false">IFERROR(INDEX(İller!$C$5:$C$85,MATCH(A193,İller!$B$5:$B$85,0)),"")</f>
        <v>1</v>
      </c>
      <c r="C193" s="13" t="n">
        <v>1</v>
      </c>
      <c r="D193" s="5" t="s">
        <v>1655</v>
      </c>
      <c r="E193" s="13" t="s">
        <v>164</v>
      </c>
      <c r="F193" s="5" t="str">
        <f aca="false">IFERROR(INDEX(İller!$M$5:$M$85,MATCH(A193,İller!$B$5:$B$85,0)),"")</f>
        <v>Güney Ege Kalkınma Ajansı</v>
      </c>
    </row>
    <row r="194" customFormat="false" ht="15" hidden="false" customHeight="false" outlineLevel="0" collapsed="false">
      <c r="A194" s="4" t="s">
        <v>1346</v>
      </c>
      <c r="B194" s="13" t="n">
        <f aca="false">IFERROR(INDEX(İller!$C$5:$C$85,MATCH(A194,İller!$B$5:$B$85,0)),"")</f>
        <v>1</v>
      </c>
      <c r="C194" s="13" t="n">
        <v>2</v>
      </c>
      <c r="D194" s="5" t="s">
        <v>1540</v>
      </c>
      <c r="E194" s="13" t="s">
        <v>164</v>
      </c>
      <c r="F194" s="5" t="str">
        <f aca="false">IFERROR(INDEX(İller!$M$5:$M$85,MATCH(A194,İller!$B$5:$B$85,0)),"")</f>
        <v>Güney Ege Kalkınma Ajansı</v>
      </c>
    </row>
    <row r="195" customFormat="false" ht="15" hidden="false" customHeight="false" outlineLevel="0" collapsed="false">
      <c r="A195" s="4" t="s">
        <v>1346</v>
      </c>
      <c r="B195" s="13" t="n">
        <f aca="false">IFERROR(INDEX(İller!$C$5:$C$85,MATCH(A195,İller!$B$5:$B$85,0)),"")</f>
        <v>1</v>
      </c>
      <c r="C195" s="13" t="n">
        <v>3</v>
      </c>
      <c r="D195" s="5" t="s">
        <v>1656</v>
      </c>
      <c r="E195" s="13" t="s">
        <v>164</v>
      </c>
      <c r="F195" s="5" t="str">
        <f aca="false">IFERROR(INDEX(İller!$M$5:$M$85,MATCH(A195,İller!$B$5:$B$85,0)),"")</f>
        <v>Güney Ege Kalkınma Ajansı</v>
      </c>
    </row>
    <row r="196" customFormat="false" ht="15" hidden="false" customHeight="false" outlineLevel="0" collapsed="false">
      <c r="A196" s="4" t="s">
        <v>1346</v>
      </c>
      <c r="B196" s="13" t="n">
        <f aca="false">IFERROR(INDEX(İller!$C$5:$C$85,MATCH(A196,İller!$B$5:$B$85,0)),"")</f>
        <v>1</v>
      </c>
      <c r="C196" s="13" t="n">
        <v>4</v>
      </c>
      <c r="D196" s="5" t="s">
        <v>1657</v>
      </c>
      <c r="E196" s="13" t="s">
        <v>164</v>
      </c>
      <c r="F196" s="5" t="str">
        <f aca="false">IFERROR(INDEX(İller!$M$5:$M$85,MATCH(A196,İller!$B$5:$B$85,0)),"")</f>
        <v>Güney Ege Kalkınma Ajansı</v>
      </c>
    </row>
    <row r="197" customFormat="false" ht="15" hidden="false" customHeight="false" outlineLevel="0" collapsed="false">
      <c r="A197" s="4" t="s">
        <v>1352</v>
      </c>
      <c r="B197" s="13" t="n">
        <f aca="false">IFERROR(INDEX(İller!$C$5:$C$85,MATCH(A197,İller!$B$5:$B$85,0)),"")</f>
        <v>6</v>
      </c>
      <c r="C197" s="13" t="n">
        <v>1</v>
      </c>
      <c r="D197" s="5" t="s">
        <v>1535</v>
      </c>
      <c r="E197" s="13" t="s">
        <v>164</v>
      </c>
      <c r="F197" s="5" t="str">
        <f aca="false">IFERROR(INDEX(İller!$M$5:$M$85,MATCH(A197,İller!$B$5:$B$85,0)),"")</f>
        <v>Doğu Anadolu Kalkınma Ajansı</v>
      </c>
    </row>
    <row r="198" customFormat="false" ht="15" hidden="false" customHeight="false" outlineLevel="0" collapsed="false">
      <c r="A198" s="4" t="s">
        <v>1352</v>
      </c>
      <c r="B198" s="13" t="n">
        <f aca="false">IFERROR(INDEX(İller!$C$5:$C$85,MATCH(A198,İller!$B$5:$B$85,0)),"")</f>
        <v>6</v>
      </c>
      <c r="C198" s="13" t="n">
        <v>2</v>
      </c>
      <c r="D198" s="5" t="s">
        <v>1537</v>
      </c>
      <c r="E198" s="13" t="s">
        <v>164</v>
      </c>
      <c r="F198" s="5" t="str">
        <f aca="false">IFERROR(INDEX(İller!$M$5:$M$85,MATCH(A198,İller!$B$5:$B$85,0)),"")</f>
        <v>Doğu Anadolu Kalkınma Ajansı</v>
      </c>
    </row>
    <row r="199" customFormat="false" ht="15" hidden="false" customHeight="false" outlineLevel="0" collapsed="false">
      <c r="A199" s="4" t="s">
        <v>1352</v>
      </c>
      <c r="B199" s="13" t="n">
        <f aca="false">IFERROR(INDEX(İller!$C$5:$C$85,MATCH(A199,İller!$B$5:$B$85,0)),"")</f>
        <v>6</v>
      </c>
      <c r="C199" s="13" t="n">
        <v>3</v>
      </c>
      <c r="D199" s="5" t="s">
        <v>1628</v>
      </c>
      <c r="E199" s="13" t="s">
        <v>164</v>
      </c>
      <c r="F199" s="5" t="str">
        <f aca="false">IFERROR(INDEX(İller!$M$5:$M$85,MATCH(A199,İller!$B$5:$B$85,0)),"")</f>
        <v>Doğu Anadolu Kalkınma Ajansı</v>
      </c>
    </row>
    <row r="200" customFormat="false" ht="15" hidden="false" customHeight="false" outlineLevel="0" collapsed="false">
      <c r="A200" s="4" t="s">
        <v>1352</v>
      </c>
      <c r="B200" s="13" t="n">
        <f aca="false">IFERROR(INDEX(İller!$C$5:$C$85,MATCH(A200,İller!$B$5:$B$85,0)),"")</f>
        <v>6</v>
      </c>
      <c r="C200" s="13" t="n">
        <v>4</v>
      </c>
      <c r="D200" s="5" t="s">
        <v>1658</v>
      </c>
      <c r="E200" s="13" t="s">
        <v>164</v>
      </c>
      <c r="F200" s="5" t="str">
        <f aca="false">IFERROR(INDEX(İller!$M$5:$M$85,MATCH(A200,İller!$B$5:$B$85,0)),"")</f>
        <v>Doğu Anadolu Kalkınma Ajansı</v>
      </c>
    </row>
    <row r="201" customFormat="false" ht="15" hidden="false" customHeight="false" outlineLevel="0" collapsed="false">
      <c r="A201" s="4" t="s">
        <v>1356</v>
      </c>
      <c r="B201" s="13" t="n">
        <f aca="false">IFERROR(INDEX(İller!$C$5:$C$85,MATCH(A201,İller!$B$5:$B$85,0)),"")</f>
        <v>3</v>
      </c>
      <c r="C201" s="13" t="n">
        <v>1</v>
      </c>
      <c r="D201" s="5" t="s">
        <v>1659</v>
      </c>
      <c r="E201" s="13" t="s">
        <v>164</v>
      </c>
      <c r="F201" s="5" t="str">
        <f aca="false">IFERROR(INDEX(İller!$M$5:$M$85,MATCH(A201,İller!$B$5:$B$85,0)),"")</f>
        <v>Ahiler Kalkınma Ajansı</v>
      </c>
    </row>
    <row r="202" customFormat="false" ht="15" hidden="false" customHeight="false" outlineLevel="0" collapsed="false">
      <c r="A202" s="4" t="s">
        <v>1356</v>
      </c>
      <c r="B202" s="13" t="n">
        <f aca="false">IFERROR(INDEX(İller!$C$5:$C$85,MATCH(A202,İller!$B$5:$B$85,0)),"")</f>
        <v>3</v>
      </c>
      <c r="C202" s="13" t="n">
        <v>2</v>
      </c>
      <c r="D202" s="5" t="s">
        <v>1660</v>
      </c>
      <c r="E202" s="13" t="s">
        <v>164</v>
      </c>
      <c r="F202" s="5" t="str">
        <f aca="false">IFERROR(INDEX(İller!$M$5:$M$85,MATCH(A202,İller!$B$5:$B$85,0)),"")</f>
        <v>Ahiler Kalkınma Ajansı</v>
      </c>
    </row>
    <row r="203" customFormat="false" ht="15" hidden="false" customHeight="false" outlineLevel="0" collapsed="false">
      <c r="A203" s="4" t="s">
        <v>1356</v>
      </c>
      <c r="B203" s="13" t="n">
        <f aca="false">IFERROR(INDEX(İller!$C$5:$C$85,MATCH(A203,İller!$B$5:$B$85,0)),"")</f>
        <v>3</v>
      </c>
      <c r="C203" s="13" t="n">
        <v>3</v>
      </c>
      <c r="D203" s="5" t="s">
        <v>1622</v>
      </c>
      <c r="E203" s="13" t="s">
        <v>164</v>
      </c>
      <c r="F203" s="5" t="str">
        <f aca="false">IFERROR(INDEX(İller!$M$5:$M$85,MATCH(A203,İller!$B$5:$B$85,0)),"")</f>
        <v>Ahiler Kalkınma Ajansı</v>
      </c>
    </row>
    <row r="204" customFormat="false" ht="15" hidden="false" customHeight="false" outlineLevel="0" collapsed="false">
      <c r="A204" s="4" t="s">
        <v>1356</v>
      </c>
      <c r="B204" s="13" t="n">
        <f aca="false">IFERROR(INDEX(İller!$C$5:$C$85,MATCH(A204,İller!$B$5:$B$85,0)),"")</f>
        <v>3</v>
      </c>
      <c r="C204" s="13" t="n">
        <v>4</v>
      </c>
      <c r="D204" s="5" t="s">
        <v>1359</v>
      </c>
      <c r="E204" s="13" t="s">
        <v>1006</v>
      </c>
      <c r="F204" s="5" t="str">
        <f aca="false">IFERROR(INDEX(İller!$M$5:$M$85,MATCH(A204,İller!$B$5:$B$85,0)),"")</f>
        <v>Ahiler Kalkınma Ajansı</v>
      </c>
    </row>
    <row r="205" customFormat="false" ht="15" hidden="false" customHeight="false" outlineLevel="0" collapsed="false">
      <c r="A205" s="4" t="s">
        <v>1363</v>
      </c>
      <c r="B205" s="13" t="n">
        <f aca="false">IFERROR(INDEX(İller!$C$5:$C$85,MATCH(A205,İller!$B$5:$B$85,0)),"")</f>
        <v>5</v>
      </c>
      <c r="C205" s="13" t="n">
        <v>1</v>
      </c>
      <c r="D205" s="5" t="s">
        <v>1661</v>
      </c>
      <c r="E205" s="13" t="s">
        <v>164</v>
      </c>
      <c r="F205" s="5" t="str">
        <f aca="false">IFERROR(INDEX(İller!$M$5:$M$85,MATCH(A205,İller!$B$5:$B$85,0)),"")</f>
        <v>Ahiler Kalkınma Ajansı</v>
      </c>
    </row>
    <row r="206" customFormat="false" ht="15" hidden="false" customHeight="false" outlineLevel="0" collapsed="false">
      <c r="A206" s="4" t="s">
        <v>1363</v>
      </c>
      <c r="B206" s="13" t="n">
        <f aca="false">IFERROR(INDEX(İller!$C$5:$C$85,MATCH(A206,İller!$B$5:$B$85,0)),"")</f>
        <v>5</v>
      </c>
      <c r="C206" s="13" t="n">
        <v>2</v>
      </c>
      <c r="D206" s="5" t="s">
        <v>1662</v>
      </c>
      <c r="E206" s="13" t="s">
        <v>164</v>
      </c>
      <c r="F206" s="5" t="str">
        <f aca="false">IFERROR(INDEX(İller!$M$5:$M$85,MATCH(A206,İller!$B$5:$B$85,0)),"")</f>
        <v>Ahiler Kalkınma Ajansı</v>
      </c>
    </row>
    <row r="207" customFormat="false" ht="15" hidden="false" customHeight="false" outlineLevel="0" collapsed="false">
      <c r="A207" s="4" t="s">
        <v>1363</v>
      </c>
      <c r="B207" s="13" t="n">
        <f aca="false">IFERROR(INDEX(İller!$C$5:$C$85,MATCH(A207,İller!$B$5:$B$85,0)),"")</f>
        <v>5</v>
      </c>
      <c r="C207" s="13" t="n">
        <v>3</v>
      </c>
      <c r="D207" s="5" t="s">
        <v>1567</v>
      </c>
      <c r="E207" s="13" t="s">
        <v>164</v>
      </c>
      <c r="F207" s="5" t="str">
        <f aca="false">IFERROR(INDEX(İller!$M$5:$M$85,MATCH(A207,İller!$B$5:$B$85,0)),"")</f>
        <v>Ahiler Kalkınma Ajansı</v>
      </c>
    </row>
    <row r="208" customFormat="false" ht="15" hidden="false" customHeight="false" outlineLevel="0" collapsed="false">
      <c r="A208" s="4" t="s">
        <v>1363</v>
      </c>
      <c r="B208" s="13" t="n">
        <f aca="false">IFERROR(INDEX(İller!$C$5:$C$85,MATCH(A208,İller!$B$5:$B$85,0)),"")</f>
        <v>5</v>
      </c>
      <c r="C208" s="13" t="n">
        <v>4</v>
      </c>
      <c r="D208" s="5" t="s">
        <v>1663</v>
      </c>
      <c r="E208" s="13" t="s">
        <v>164</v>
      </c>
      <c r="F208" s="5" t="str">
        <f aca="false">IFERROR(INDEX(İller!$M$5:$M$85,MATCH(A208,İller!$B$5:$B$85,0)),"")</f>
        <v>Ahiler Kalkınma Ajansı</v>
      </c>
    </row>
    <row r="209" customFormat="false" ht="15" hidden="false" customHeight="false" outlineLevel="0" collapsed="false">
      <c r="A209" s="4" t="s">
        <v>1369</v>
      </c>
      <c r="B209" s="13" t="n">
        <f aca="false">IFERROR(INDEX(İller!$C$5:$C$85,MATCH(A209,İller!$B$5:$B$85,0)),"")</f>
        <v>5</v>
      </c>
      <c r="C209" s="13" t="n">
        <v>1</v>
      </c>
      <c r="D209" s="5" t="s">
        <v>1664</v>
      </c>
      <c r="E209" s="13" t="s">
        <v>164</v>
      </c>
      <c r="F209" s="5" t="str">
        <f aca="false">IFERROR(INDEX(İller!$M$5:$M$85,MATCH(A209,İller!$B$5:$B$85,0)),"")</f>
        <v>Doğu Karadeniz Kalkınma Ajansı</v>
      </c>
    </row>
    <row r="210" customFormat="false" ht="15" hidden="false" customHeight="false" outlineLevel="0" collapsed="false">
      <c r="A210" s="4" t="s">
        <v>1369</v>
      </c>
      <c r="B210" s="13" t="n">
        <f aca="false">IFERROR(INDEX(İller!$C$5:$C$85,MATCH(A210,İller!$B$5:$B$85,0)),"")</f>
        <v>5</v>
      </c>
      <c r="C210" s="13" t="n">
        <v>2</v>
      </c>
      <c r="D210" s="5" t="s">
        <v>1545</v>
      </c>
      <c r="E210" s="13" t="s">
        <v>164</v>
      </c>
      <c r="F210" s="5" t="str">
        <f aca="false">IFERROR(INDEX(İller!$M$5:$M$85,MATCH(A210,İller!$B$5:$B$85,0)),"")</f>
        <v>Doğu Karadeniz Kalkınma Ajansı</v>
      </c>
    </row>
    <row r="211" customFormat="false" ht="15" hidden="false" customHeight="false" outlineLevel="0" collapsed="false">
      <c r="A211" s="4" t="s">
        <v>1369</v>
      </c>
      <c r="B211" s="13" t="n">
        <f aca="false">IFERROR(INDEX(İller!$C$5:$C$85,MATCH(A211,İller!$B$5:$B$85,0)),"")</f>
        <v>5</v>
      </c>
      <c r="C211" s="13" t="n">
        <v>3</v>
      </c>
      <c r="D211" s="5" t="s">
        <v>1665</v>
      </c>
      <c r="E211" s="13" t="s">
        <v>164</v>
      </c>
      <c r="F211" s="5" t="str">
        <f aca="false">IFERROR(INDEX(İller!$M$5:$M$85,MATCH(A211,İller!$B$5:$B$85,0)),"")</f>
        <v>Doğu Karadeniz Kalkınma Ajansı</v>
      </c>
    </row>
    <row r="212" customFormat="false" ht="15" hidden="false" customHeight="false" outlineLevel="0" collapsed="false">
      <c r="A212" s="4" t="s">
        <v>1369</v>
      </c>
      <c r="B212" s="13" t="n">
        <f aca="false">IFERROR(INDEX(İller!$C$5:$C$85,MATCH(A212,İller!$B$5:$B$85,0)),"")</f>
        <v>5</v>
      </c>
      <c r="C212" s="13" t="n">
        <v>4</v>
      </c>
      <c r="D212" s="5" t="s">
        <v>1604</v>
      </c>
      <c r="E212" s="13" t="s">
        <v>164</v>
      </c>
      <c r="F212" s="5" t="str">
        <f aca="false">IFERROR(INDEX(İller!$M$5:$M$85,MATCH(A212,İller!$B$5:$B$85,0)),"")</f>
        <v>Doğu Karadeniz Kalkınma Ajansı</v>
      </c>
    </row>
    <row r="213" customFormat="false" ht="15" hidden="false" customHeight="false" outlineLevel="0" collapsed="false">
      <c r="A213" s="4" t="s">
        <v>1374</v>
      </c>
      <c r="B213" s="13" t="n">
        <f aca="false">IFERROR(INDEX(İller!$C$5:$C$85,MATCH(A213,İller!$B$5:$B$85,0)),"")</f>
        <v>3</v>
      </c>
      <c r="C213" s="13" t="n">
        <v>1</v>
      </c>
      <c r="D213" s="5" t="s">
        <v>1377</v>
      </c>
      <c r="E213" s="13" t="s">
        <v>1006</v>
      </c>
      <c r="F213" s="5" t="str">
        <f aca="false">IFERROR(INDEX(İller!$M$5:$M$85,MATCH(A213,İller!$B$5:$B$85,0)),"")</f>
        <v>Doğu Karadeniz Kalkınma Ajansı</v>
      </c>
    </row>
    <row r="214" customFormat="false" ht="15" hidden="false" customHeight="false" outlineLevel="0" collapsed="false">
      <c r="A214" s="4" t="s">
        <v>1374</v>
      </c>
      <c r="B214" s="13" t="n">
        <f aca="false">IFERROR(INDEX(İller!$C$5:$C$85,MATCH(A214,İller!$B$5:$B$85,0)),"")</f>
        <v>3</v>
      </c>
      <c r="C214" s="13" t="n">
        <v>2</v>
      </c>
      <c r="D214" s="5" t="s">
        <v>1554</v>
      </c>
      <c r="E214" s="13" t="s">
        <v>164</v>
      </c>
      <c r="F214" s="5" t="str">
        <f aca="false">IFERROR(INDEX(İller!$M$5:$M$85,MATCH(A214,İller!$B$5:$B$85,0)),"")</f>
        <v>Doğu Karadeniz Kalkınma Ajansı</v>
      </c>
    </row>
    <row r="215" customFormat="false" ht="15" hidden="false" customHeight="false" outlineLevel="0" collapsed="false">
      <c r="A215" s="4" t="s">
        <v>1374</v>
      </c>
      <c r="B215" s="13" t="n">
        <f aca="false">IFERROR(INDEX(İller!$C$5:$C$85,MATCH(A215,İller!$B$5:$B$85,0)),"")</f>
        <v>3</v>
      </c>
      <c r="C215" s="13" t="n">
        <v>3</v>
      </c>
      <c r="D215" s="5" t="s">
        <v>1666</v>
      </c>
      <c r="E215" s="13" t="s">
        <v>164</v>
      </c>
      <c r="F215" s="5" t="str">
        <f aca="false">IFERROR(INDEX(İller!$M$5:$M$85,MATCH(A215,İller!$B$5:$B$85,0)),"")</f>
        <v>Doğu Karadeniz Kalkınma Ajansı</v>
      </c>
    </row>
    <row r="216" customFormat="false" ht="15" hidden="false" customHeight="false" outlineLevel="0" collapsed="false">
      <c r="A216" s="4" t="s">
        <v>1374</v>
      </c>
      <c r="B216" s="13" t="n">
        <f aca="false">IFERROR(INDEX(İller!$C$5:$C$85,MATCH(A216,İller!$B$5:$B$85,0)),"")</f>
        <v>3</v>
      </c>
      <c r="C216" s="13" t="n">
        <v>4</v>
      </c>
      <c r="D216" s="5" t="s">
        <v>1533</v>
      </c>
      <c r="E216" s="13" t="s">
        <v>164</v>
      </c>
      <c r="F216" s="5" t="str">
        <f aca="false">IFERROR(INDEX(İller!$M$5:$M$85,MATCH(A216,İller!$B$5:$B$85,0)),"")</f>
        <v>Doğu Karadeniz Kalkınma Ajansı</v>
      </c>
    </row>
    <row r="217" customFormat="false" ht="15" hidden="false" customHeight="false" outlineLevel="0" collapsed="false">
      <c r="A217" s="4" t="s">
        <v>1380</v>
      </c>
      <c r="B217" s="13" t="n">
        <f aca="false">IFERROR(INDEX(İller!$C$5:$C$85,MATCH(A217,İller!$B$5:$B$85,0)),"")</f>
        <v>2</v>
      </c>
      <c r="C217" s="13" t="n">
        <v>1</v>
      </c>
      <c r="D217" s="5" t="s">
        <v>1383</v>
      </c>
      <c r="E217" s="13" t="s">
        <v>1006</v>
      </c>
      <c r="F217" s="5" t="str">
        <f aca="false">IFERROR(INDEX(İller!$M$5:$M$85,MATCH(A217,İller!$B$5:$B$85,0)),"")</f>
        <v>Doğu Marmara Kalkınma Ajansı</v>
      </c>
    </row>
    <row r="218" customFormat="false" ht="15" hidden="false" customHeight="false" outlineLevel="0" collapsed="false">
      <c r="A218" s="4" t="s">
        <v>1380</v>
      </c>
      <c r="B218" s="13" t="n">
        <f aca="false">IFERROR(INDEX(İller!$C$5:$C$85,MATCH(A218,İller!$B$5:$B$85,0)),"")</f>
        <v>2</v>
      </c>
      <c r="C218" s="13" t="n">
        <v>2</v>
      </c>
      <c r="D218" s="5" t="s">
        <v>1667</v>
      </c>
      <c r="E218" s="13" t="s">
        <v>164</v>
      </c>
      <c r="F218" s="5" t="str">
        <f aca="false">IFERROR(INDEX(İller!$M$5:$M$85,MATCH(A218,İller!$B$5:$B$85,0)),"")</f>
        <v>Doğu Marmara Kalkınma Ajansı</v>
      </c>
    </row>
    <row r="219" customFormat="false" ht="15" hidden="false" customHeight="false" outlineLevel="0" collapsed="false">
      <c r="A219" s="4" t="s">
        <v>1380</v>
      </c>
      <c r="B219" s="13" t="n">
        <f aca="false">IFERROR(INDEX(İller!$C$5:$C$85,MATCH(A219,İller!$B$5:$B$85,0)),"")</f>
        <v>2</v>
      </c>
      <c r="C219" s="13" t="n">
        <v>3</v>
      </c>
      <c r="D219" s="5" t="s">
        <v>1668</v>
      </c>
      <c r="E219" s="13" t="s">
        <v>164</v>
      </c>
      <c r="F219" s="5" t="str">
        <f aca="false">IFERROR(INDEX(İller!$M$5:$M$85,MATCH(A219,İller!$B$5:$B$85,0)),"")</f>
        <v>Doğu Marmara Kalkınma Ajansı</v>
      </c>
    </row>
    <row r="220" customFormat="false" ht="15" hidden="false" customHeight="false" outlineLevel="0" collapsed="false">
      <c r="A220" s="4" t="s">
        <v>1380</v>
      </c>
      <c r="B220" s="13" t="n">
        <f aca="false">IFERROR(INDEX(İller!$C$5:$C$85,MATCH(A220,İller!$B$5:$B$85,0)),"")</f>
        <v>2</v>
      </c>
      <c r="C220" s="13" t="n">
        <v>4</v>
      </c>
      <c r="D220" s="5" t="s">
        <v>1669</v>
      </c>
      <c r="E220" s="13" t="s">
        <v>164</v>
      </c>
      <c r="F220" s="5" t="str">
        <f aca="false">IFERROR(INDEX(İller!$M$5:$M$85,MATCH(A220,İller!$B$5:$B$85,0)),"")</f>
        <v>Doğu Marmara Kalkınma Ajansı</v>
      </c>
    </row>
    <row r="221" customFormat="false" ht="15" hidden="false" customHeight="false" outlineLevel="0" collapsed="false">
      <c r="A221" s="4" t="s">
        <v>1385</v>
      </c>
      <c r="B221" s="13" t="n">
        <f aca="false">IFERROR(INDEX(İller!$C$5:$C$85,MATCH(A221,İller!$B$5:$B$85,0)),"")</f>
        <v>3</v>
      </c>
      <c r="C221" s="13" t="n">
        <v>1</v>
      </c>
      <c r="D221" s="5" t="s">
        <v>1670</v>
      </c>
      <c r="E221" s="13" t="s">
        <v>164</v>
      </c>
      <c r="F221" s="5" t="str">
        <f aca="false">IFERROR(INDEX(İller!$M$5:$M$85,MATCH(A221,İller!$B$5:$B$85,0)),"")</f>
        <v>Orta Karadeniz Kalkınma Ajansı</v>
      </c>
    </row>
    <row r="222" customFormat="false" ht="15" hidden="false" customHeight="false" outlineLevel="0" collapsed="false">
      <c r="A222" s="4" t="s">
        <v>1385</v>
      </c>
      <c r="B222" s="13" t="n">
        <f aca="false">IFERROR(INDEX(İller!$C$5:$C$85,MATCH(A222,İller!$B$5:$B$85,0)),"")</f>
        <v>3</v>
      </c>
      <c r="C222" s="13" t="n">
        <v>2</v>
      </c>
      <c r="D222" s="5" t="s">
        <v>1671</v>
      </c>
      <c r="E222" s="13" t="s">
        <v>164</v>
      </c>
      <c r="F222" s="5" t="str">
        <f aca="false">IFERROR(INDEX(İller!$M$5:$M$85,MATCH(A222,İller!$B$5:$B$85,0)),"")</f>
        <v>Orta Karadeniz Kalkınma Ajansı</v>
      </c>
    </row>
    <row r="223" customFormat="false" ht="15" hidden="false" customHeight="false" outlineLevel="0" collapsed="false">
      <c r="A223" s="4" t="s">
        <v>1385</v>
      </c>
      <c r="B223" s="13" t="n">
        <f aca="false">IFERROR(INDEX(İller!$C$5:$C$85,MATCH(A223,İller!$B$5:$B$85,0)),"")</f>
        <v>3</v>
      </c>
      <c r="C223" s="13" t="n">
        <v>3</v>
      </c>
      <c r="D223" s="5" t="s">
        <v>1533</v>
      </c>
      <c r="E223" s="13" t="s">
        <v>164</v>
      </c>
      <c r="F223" s="5" t="str">
        <f aca="false">IFERROR(INDEX(İller!$M$5:$M$85,MATCH(A223,İller!$B$5:$B$85,0)),"")</f>
        <v>Orta Karadeniz Kalkınma Ajansı</v>
      </c>
    </row>
    <row r="224" customFormat="false" ht="15" hidden="false" customHeight="false" outlineLevel="0" collapsed="false">
      <c r="A224" s="4" t="s">
        <v>1385</v>
      </c>
      <c r="B224" s="13" t="n">
        <f aca="false">IFERROR(INDEX(İller!$C$5:$C$85,MATCH(A224,İller!$B$5:$B$85,0)),"")</f>
        <v>3</v>
      </c>
      <c r="C224" s="13" t="n">
        <v>4</v>
      </c>
      <c r="D224" s="5" t="s">
        <v>1548</v>
      </c>
      <c r="E224" s="13" t="s">
        <v>164</v>
      </c>
      <c r="F224" s="5" t="str">
        <f aca="false">IFERROR(INDEX(İller!$M$5:$M$85,MATCH(A224,İller!$B$5:$B$85,0)),"")</f>
        <v>Orta Karadeniz Kalkınma Ajansı</v>
      </c>
    </row>
    <row r="225" customFormat="false" ht="15" hidden="false" customHeight="false" outlineLevel="0" collapsed="false">
      <c r="A225" s="4" t="s">
        <v>1391</v>
      </c>
      <c r="B225" s="13" t="n">
        <f aca="false">IFERROR(INDEX(İller!$C$5:$C$85,MATCH(A225,İller!$B$5:$B$85,0)),"")</f>
        <v>6</v>
      </c>
      <c r="C225" s="13" t="n">
        <v>1</v>
      </c>
      <c r="D225" s="5" t="s">
        <v>1542</v>
      </c>
      <c r="E225" s="13" t="s">
        <v>164</v>
      </c>
      <c r="F225" s="5" t="str">
        <f aca="false">IFERROR(INDEX(İller!$M$5:$M$85,MATCH(A225,İller!$B$5:$B$85,0)),"")</f>
        <v>Dicle Kalkınma Ajansı</v>
      </c>
    </row>
    <row r="226" customFormat="false" ht="15" hidden="false" customHeight="false" outlineLevel="0" collapsed="false">
      <c r="A226" s="4" t="s">
        <v>1391</v>
      </c>
      <c r="B226" s="13" t="n">
        <f aca="false">IFERROR(INDEX(İller!$C$5:$C$85,MATCH(A226,İller!$B$5:$B$85,0)),"")</f>
        <v>6</v>
      </c>
      <c r="C226" s="13" t="n">
        <v>2</v>
      </c>
      <c r="D226" s="5" t="s">
        <v>1672</v>
      </c>
      <c r="E226" s="13" t="s">
        <v>164</v>
      </c>
      <c r="F226" s="5" t="str">
        <f aca="false">IFERROR(INDEX(İller!$M$5:$M$85,MATCH(A226,İller!$B$5:$B$85,0)),"")</f>
        <v>Dicle Kalkınma Ajansı</v>
      </c>
    </row>
    <row r="227" customFormat="false" ht="15" hidden="false" customHeight="false" outlineLevel="0" collapsed="false">
      <c r="A227" s="4" t="s">
        <v>1391</v>
      </c>
      <c r="B227" s="13" t="n">
        <f aca="false">IFERROR(INDEX(İller!$C$5:$C$85,MATCH(A227,İller!$B$5:$B$85,0)),"")</f>
        <v>6</v>
      </c>
      <c r="C227" s="13" t="n">
        <v>3</v>
      </c>
      <c r="D227" s="5" t="s">
        <v>1537</v>
      </c>
      <c r="E227" s="13" t="s">
        <v>164</v>
      </c>
      <c r="F227" s="5" t="str">
        <f aca="false">IFERROR(INDEX(İller!$M$5:$M$85,MATCH(A227,İller!$B$5:$B$85,0)),"")</f>
        <v>Dicle Kalkınma Ajansı</v>
      </c>
    </row>
    <row r="228" customFormat="false" ht="15" hidden="false" customHeight="false" outlineLevel="0" collapsed="false">
      <c r="A228" s="4" t="s">
        <v>1391</v>
      </c>
      <c r="B228" s="13" t="n">
        <f aca="false">IFERROR(INDEX(İller!$C$5:$C$85,MATCH(A228,İller!$B$5:$B$85,0)),"")</f>
        <v>6</v>
      </c>
      <c r="C228" s="13" t="n">
        <v>4</v>
      </c>
      <c r="D228" s="5" t="s">
        <v>1564</v>
      </c>
      <c r="E228" s="13" t="s">
        <v>164</v>
      </c>
      <c r="F228" s="5" t="str">
        <f aca="false">IFERROR(INDEX(İller!$M$5:$M$85,MATCH(A228,İller!$B$5:$B$85,0)),"")</f>
        <v>Dicle Kalkınma Ajansı</v>
      </c>
    </row>
    <row r="229" customFormat="false" ht="15" hidden="false" customHeight="false" outlineLevel="0" collapsed="false">
      <c r="A229" s="4" t="s">
        <v>1394</v>
      </c>
      <c r="B229" s="13" t="n">
        <f aca="false">IFERROR(INDEX(İller!$C$5:$C$85,MATCH(A229,İller!$B$5:$B$85,0)),"")</f>
        <v>5</v>
      </c>
      <c r="C229" s="13" t="n">
        <v>1</v>
      </c>
      <c r="D229" s="5" t="s">
        <v>1553</v>
      </c>
      <c r="E229" s="13" t="s">
        <v>164</v>
      </c>
      <c r="F229" s="5" t="str">
        <f aca="false">IFERROR(INDEX(İller!$M$5:$M$85,MATCH(A229,İller!$B$5:$B$85,0)),"")</f>
        <v>Kuzey Anadolu Kalkınma Ajansı</v>
      </c>
    </row>
    <row r="230" customFormat="false" ht="15" hidden="false" customHeight="false" outlineLevel="0" collapsed="false">
      <c r="A230" s="4" t="s">
        <v>1394</v>
      </c>
      <c r="B230" s="13" t="n">
        <f aca="false">IFERROR(INDEX(İller!$C$5:$C$85,MATCH(A230,İller!$B$5:$B$85,0)),"")</f>
        <v>5</v>
      </c>
      <c r="C230" s="13" t="n">
        <v>2</v>
      </c>
      <c r="D230" s="5" t="s">
        <v>1673</v>
      </c>
      <c r="E230" s="13" t="s">
        <v>164</v>
      </c>
      <c r="F230" s="5" t="str">
        <f aca="false">IFERROR(INDEX(İller!$M$5:$M$85,MATCH(A230,İller!$B$5:$B$85,0)),"")</f>
        <v>Kuzey Anadolu Kalkınma Ajansı</v>
      </c>
    </row>
    <row r="231" customFormat="false" ht="15" hidden="false" customHeight="false" outlineLevel="0" collapsed="false">
      <c r="A231" s="4" t="s">
        <v>1394</v>
      </c>
      <c r="B231" s="13" t="n">
        <f aca="false">IFERROR(INDEX(İller!$C$5:$C$85,MATCH(A231,İller!$B$5:$B$85,0)),"")</f>
        <v>5</v>
      </c>
      <c r="C231" s="13" t="n">
        <v>3</v>
      </c>
      <c r="D231" s="5" t="s">
        <v>1533</v>
      </c>
      <c r="E231" s="13" t="s">
        <v>164</v>
      </c>
      <c r="F231" s="5" t="str">
        <f aca="false">IFERROR(INDEX(İller!$M$5:$M$85,MATCH(A231,İller!$B$5:$B$85,0)),"")</f>
        <v>Kuzey Anadolu Kalkınma Ajansı</v>
      </c>
    </row>
    <row r="232" customFormat="false" ht="15" hidden="false" customHeight="false" outlineLevel="0" collapsed="false">
      <c r="A232" s="4" t="s">
        <v>1394</v>
      </c>
      <c r="B232" s="13" t="n">
        <f aca="false">IFERROR(INDEX(İller!$C$5:$C$85,MATCH(A232,İller!$B$5:$B$85,0)),"")</f>
        <v>5</v>
      </c>
      <c r="C232" s="13" t="n">
        <v>4</v>
      </c>
      <c r="D232" s="5" t="s">
        <v>1545</v>
      </c>
      <c r="E232" s="13" t="s">
        <v>164</v>
      </c>
      <c r="F232" s="5" t="str">
        <f aca="false">IFERROR(INDEX(İller!$M$5:$M$85,MATCH(A232,İller!$B$5:$B$85,0)),"")</f>
        <v>Kuzey Anadolu Kalkınma Ajansı</v>
      </c>
    </row>
    <row r="233" customFormat="false" ht="15" hidden="false" customHeight="false" outlineLevel="0" collapsed="false">
      <c r="A233" s="4" t="s">
        <v>1400</v>
      </c>
      <c r="B233" s="13" t="n">
        <f aca="false">IFERROR(INDEX(İller!$C$5:$C$85,MATCH(A233,İller!$B$5:$B$85,0)),"")</f>
        <v>4</v>
      </c>
      <c r="C233" s="13" t="n">
        <v>1</v>
      </c>
      <c r="D233" s="5" t="s">
        <v>1674</v>
      </c>
      <c r="E233" s="13" t="s">
        <v>164</v>
      </c>
      <c r="F233" s="5" t="str">
        <f aca="false">IFERROR(INDEX(İller!$M$5:$M$85,MATCH(A233,İller!$B$5:$B$85,0)),"")</f>
        <v>Orta Anadolu Kalkınma Ajansı</v>
      </c>
    </row>
    <row r="234" customFormat="false" ht="15" hidden="false" customHeight="false" outlineLevel="0" collapsed="false">
      <c r="A234" s="4" t="s">
        <v>1400</v>
      </c>
      <c r="B234" s="13" t="n">
        <f aca="false">IFERROR(INDEX(İller!$C$5:$C$85,MATCH(A234,İller!$B$5:$B$85,0)),"")</f>
        <v>4</v>
      </c>
      <c r="C234" s="13" t="n">
        <v>2</v>
      </c>
      <c r="D234" s="5" t="s">
        <v>1675</v>
      </c>
      <c r="E234" s="13" t="s">
        <v>164</v>
      </c>
      <c r="F234" s="5" t="str">
        <f aca="false">IFERROR(INDEX(İller!$M$5:$M$85,MATCH(A234,İller!$B$5:$B$85,0)),"")</f>
        <v>Orta Anadolu Kalkınma Ajansı</v>
      </c>
    </row>
    <row r="235" customFormat="false" ht="15" hidden="false" customHeight="false" outlineLevel="0" collapsed="false">
      <c r="A235" s="4" t="s">
        <v>1400</v>
      </c>
      <c r="B235" s="13" t="n">
        <f aca="false">IFERROR(INDEX(İller!$C$5:$C$85,MATCH(A235,İller!$B$5:$B$85,0)),"")</f>
        <v>4</v>
      </c>
      <c r="C235" s="13" t="n">
        <v>3</v>
      </c>
      <c r="D235" s="5" t="s">
        <v>1676</v>
      </c>
      <c r="E235" s="13" t="s">
        <v>164</v>
      </c>
      <c r="F235" s="5" t="str">
        <f aca="false">IFERROR(INDEX(İller!$M$5:$M$85,MATCH(A235,İller!$B$5:$B$85,0)),"")</f>
        <v>Orta Anadolu Kalkınma Ajansı</v>
      </c>
    </row>
    <row r="236" customFormat="false" ht="15" hidden="false" customHeight="false" outlineLevel="0" collapsed="false">
      <c r="A236" s="4" t="s">
        <v>1400</v>
      </c>
      <c r="B236" s="13" t="n">
        <f aca="false">IFERROR(INDEX(İller!$C$5:$C$85,MATCH(A236,İller!$B$5:$B$85,0)),"")</f>
        <v>4</v>
      </c>
      <c r="C236" s="13" t="n">
        <v>4</v>
      </c>
      <c r="D236" s="5" t="s">
        <v>1201</v>
      </c>
      <c r="E236" s="13" t="s">
        <v>1006</v>
      </c>
      <c r="F236" s="5" t="str">
        <f aca="false">IFERROR(INDEX(İller!$M$5:$M$85,MATCH(A236,İller!$B$5:$B$85,0)),"")</f>
        <v>Orta Anadolu Kalkınma Ajansı</v>
      </c>
    </row>
    <row r="237" customFormat="false" ht="15" hidden="false" customHeight="false" outlineLevel="0" collapsed="false">
      <c r="A237" s="4" t="s">
        <v>1406</v>
      </c>
      <c r="B237" s="13" t="n">
        <f aca="false">IFERROR(INDEX(İller!$C$5:$C$85,MATCH(A237,İller!$B$5:$B$85,0)),"")</f>
        <v>2</v>
      </c>
      <c r="C237" s="13" t="n">
        <v>1</v>
      </c>
      <c r="D237" s="5" t="s">
        <v>1670</v>
      </c>
      <c r="E237" s="13" t="s">
        <v>164</v>
      </c>
      <c r="F237" s="5" t="str">
        <f aca="false">IFERROR(INDEX(İller!$M$5:$M$85,MATCH(A237,İller!$B$5:$B$85,0)),"")</f>
        <v>Trakya Kalkınma Ajansı</v>
      </c>
    </row>
    <row r="238" customFormat="false" ht="15" hidden="false" customHeight="false" outlineLevel="0" collapsed="false">
      <c r="A238" s="4" t="s">
        <v>1406</v>
      </c>
      <c r="B238" s="13" t="n">
        <f aca="false">IFERROR(INDEX(İller!$C$5:$C$85,MATCH(A238,İller!$B$5:$B$85,0)),"")</f>
        <v>2</v>
      </c>
      <c r="C238" s="13" t="n">
        <v>2</v>
      </c>
      <c r="D238" s="5" t="s">
        <v>1677</v>
      </c>
      <c r="E238" s="13" t="s">
        <v>164</v>
      </c>
      <c r="F238" s="5" t="str">
        <f aca="false">IFERROR(INDEX(İller!$M$5:$M$85,MATCH(A238,İller!$B$5:$B$85,0)),"")</f>
        <v>Trakya Kalkınma Ajansı</v>
      </c>
    </row>
    <row r="239" customFormat="false" ht="15" hidden="false" customHeight="false" outlineLevel="0" collapsed="false">
      <c r="A239" s="4" t="s">
        <v>1406</v>
      </c>
      <c r="B239" s="13" t="n">
        <f aca="false">IFERROR(INDEX(İller!$C$5:$C$85,MATCH(A239,İller!$B$5:$B$85,0)),"")</f>
        <v>2</v>
      </c>
      <c r="C239" s="13" t="n">
        <v>3</v>
      </c>
      <c r="D239" s="5" t="s">
        <v>1678</v>
      </c>
      <c r="E239" s="13" t="s">
        <v>164</v>
      </c>
      <c r="F239" s="5" t="str">
        <f aca="false">IFERROR(INDEX(İller!$M$5:$M$85,MATCH(A239,İller!$B$5:$B$85,0)),"")</f>
        <v>Trakya Kalkınma Ajansı</v>
      </c>
    </row>
    <row r="240" customFormat="false" ht="15" hidden="false" customHeight="false" outlineLevel="0" collapsed="false">
      <c r="A240" s="4" t="s">
        <v>1406</v>
      </c>
      <c r="B240" s="13" t="n">
        <f aca="false">IFERROR(INDEX(İller!$C$5:$C$85,MATCH(A240,İller!$B$5:$B$85,0)),"")</f>
        <v>2</v>
      </c>
      <c r="C240" s="13" t="n">
        <v>4</v>
      </c>
      <c r="D240" s="5" t="s">
        <v>1548</v>
      </c>
      <c r="E240" s="13" t="s">
        <v>164</v>
      </c>
      <c r="F240" s="5" t="str">
        <f aca="false">IFERROR(INDEX(İller!$M$5:$M$85,MATCH(A240,İller!$B$5:$B$85,0)),"")</f>
        <v>Trakya Kalkınma Ajansı</v>
      </c>
    </row>
    <row r="241" customFormat="false" ht="15" hidden="false" customHeight="false" outlineLevel="0" collapsed="false">
      <c r="A241" s="4" t="s">
        <v>1410</v>
      </c>
      <c r="B241" s="13" t="n">
        <f aca="false">IFERROR(INDEX(İller!$C$5:$C$85,MATCH(A241,İller!$B$5:$B$85,0)),"")</f>
        <v>5</v>
      </c>
      <c r="C241" s="13" t="n">
        <v>1</v>
      </c>
      <c r="D241" s="5" t="s">
        <v>1553</v>
      </c>
      <c r="E241" s="13" t="s">
        <v>164</v>
      </c>
      <c r="F241" s="5" t="str">
        <f aca="false">IFERROR(INDEX(İller!$M$5:$M$85,MATCH(A241,İller!$B$5:$B$85,0)),"")</f>
        <v>Orta Karadeniz Kalkınma Ajansı</v>
      </c>
    </row>
    <row r="242" customFormat="false" ht="15" hidden="false" customHeight="false" outlineLevel="0" collapsed="false">
      <c r="A242" s="4" t="s">
        <v>1410</v>
      </c>
      <c r="B242" s="13" t="n">
        <f aca="false">IFERROR(INDEX(İller!$C$5:$C$85,MATCH(A242,İller!$B$5:$B$85,0)),"")</f>
        <v>5</v>
      </c>
      <c r="C242" s="13" t="n">
        <v>2</v>
      </c>
      <c r="D242" s="5" t="s">
        <v>1679</v>
      </c>
      <c r="E242" s="13" t="s">
        <v>164</v>
      </c>
      <c r="F242" s="5" t="str">
        <f aca="false">IFERROR(INDEX(İller!$M$5:$M$85,MATCH(A242,İller!$B$5:$B$85,0)),"")</f>
        <v>Orta Karadeniz Kalkınma Ajansı</v>
      </c>
    </row>
    <row r="243" customFormat="false" ht="15" hidden="false" customHeight="false" outlineLevel="0" collapsed="false">
      <c r="A243" s="4" t="s">
        <v>1410</v>
      </c>
      <c r="B243" s="13" t="n">
        <f aca="false">IFERROR(INDEX(İller!$C$5:$C$85,MATCH(A243,İller!$B$5:$B$85,0)),"")</f>
        <v>5</v>
      </c>
      <c r="C243" s="13" t="n">
        <v>3</v>
      </c>
      <c r="D243" s="5" t="s">
        <v>1567</v>
      </c>
      <c r="E243" s="13" t="s">
        <v>164</v>
      </c>
      <c r="F243" s="5" t="str">
        <f aca="false">IFERROR(INDEX(İller!$M$5:$M$85,MATCH(A243,İller!$B$5:$B$85,0)),"")</f>
        <v>Orta Karadeniz Kalkınma Ajansı</v>
      </c>
    </row>
    <row r="244" customFormat="false" ht="15" hidden="false" customHeight="false" outlineLevel="0" collapsed="false">
      <c r="A244" s="4" t="s">
        <v>1410</v>
      </c>
      <c r="B244" s="13" t="n">
        <f aca="false">IFERROR(INDEX(İller!$C$5:$C$85,MATCH(A244,İller!$B$5:$B$85,0)),"")</f>
        <v>5</v>
      </c>
      <c r="C244" s="13" t="n">
        <v>4</v>
      </c>
      <c r="D244" s="5" t="s">
        <v>1557</v>
      </c>
      <c r="E244" s="13" t="s">
        <v>164</v>
      </c>
      <c r="F244" s="5" t="str">
        <f aca="false">IFERROR(INDEX(İller!$M$5:$M$85,MATCH(A244,İller!$B$5:$B$85,0)),"")</f>
        <v>Orta Karadeniz Kalkınma Ajansı</v>
      </c>
    </row>
    <row r="245" customFormat="false" ht="15" hidden="false" customHeight="false" outlineLevel="0" collapsed="false">
      <c r="A245" s="4" t="s">
        <v>1416</v>
      </c>
      <c r="B245" s="13" t="n">
        <f aca="false">IFERROR(INDEX(İller!$C$5:$C$85,MATCH(A245,İller!$B$5:$B$85,0)),"")</f>
        <v>3</v>
      </c>
      <c r="C245" s="13" t="n">
        <v>1</v>
      </c>
      <c r="D245" s="5" t="s">
        <v>1680</v>
      </c>
      <c r="E245" s="13" t="s">
        <v>164</v>
      </c>
      <c r="F245" s="5" t="str">
        <f aca="false">IFERROR(INDEX(İller!$M$5:$M$85,MATCH(A245,İller!$B$5:$B$85,0)),"")</f>
        <v>Doğu Karadeniz Kalkınma Ajansı</v>
      </c>
    </row>
    <row r="246" customFormat="false" ht="15" hidden="false" customHeight="false" outlineLevel="0" collapsed="false">
      <c r="A246" s="4" t="s">
        <v>1416</v>
      </c>
      <c r="B246" s="13" t="n">
        <f aca="false">IFERROR(INDEX(İller!$C$5:$C$85,MATCH(A246,İller!$B$5:$B$85,0)),"")</f>
        <v>3</v>
      </c>
      <c r="C246" s="13" t="n">
        <v>2</v>
      </c>
      <c r="D246" s="5" t="s">
        <v>1593</v>
      </c>
      <c r="E246" s="13" t="s">
        <v>164</v>
      </c>
      <c r="F246" s="5" t="str">
        <f aca="false">IFERROR(INDEX(İller!$M$5:$M$85,MATCH(A246,İller!$B$5:$B$85,0)),"")</f>
        <v>Doğu Karadeniz Kalkınma Ajansı</v>
      </c>
    </row>
    <row r="247" customFormat="false" ht="15" hidden="false" customHeight="false" outlineLevel="0" collapsed="false">
      <c r="A247" s="4" t="s">
        <v>1416</v>
      </c>
      <c r="B247" s="13" t="n">
        <f aca="false">IFERROR(INDEX(İller!$C$5:$C$85,MATCH(A247,İller!$B$5:$B$85,0)),"")</f>
        <v>3</v>
      </c>
      <c r="C247" s="13" t="n">
        <v>3</v>
      </c>
      <c r="D247" s="5" t="s">
        <v>1681</v>
      </c>
      <c r="E247" s="13" t="s">
        <v>164</v>
      </c>
      <c r="F247" s="5" t="str">
        <f aca="false">IFERROR(INDEX(İller!$M$5:$M$85,MATCH(A247,İller!$B$5:$B$85,0)),"")</f>
        <v>Doğu Karadeniz Kalkınma Ajansı</v>
      </c>
    </row>
    <row r="248" customFormat="false" ht="15" hidden="false" customHeight="false" outlineLevel="0" collapsed="false">
      <c r="A248" s="4" t="s">
        <v>1416</v>
      </c>
      <c r="B248" s="13" t="n">
        <f aca="false">IFERROR(INDEX(İller!$C$5:$C$85,MATCH(A248,İller!$B$5:$B$85,0)),"")</f>
        <v>3</v>
      </c>
      <c r="C248" s="13" t="n">
        <v>4</v>
      </c>
      <c r="D248" s="5" t="s">
        <v>1550</v>
      </c>
      <c r="E248" s="13" t="s">
        <v>164</v>
      </c>
      <c r="F248" s="5" t="str">
        <f aca="false">IFERROR(INDEX(İller!$M$5:$M$85,MATCH(A248,İller!$B$5:$B$85,0)),"")</f>
        <v>Doğu Karadeniz Kalkınma Ajansı</v>
      </c>
    </row>
    <row r="249" customFormat="false" ht="15" hidden="false" customHeight="false" outlineLevel="0" collapsed="false">
      <c r="A249" s="4" t="s">
        <v>1422</v>
      </c>
      <c r="B249" s="13" t="n">
        <f aca="false">IFERROR(INDEX(İller!$C$5:$C$85,MATCH(A249,İller!$B$5:$B$85,0)),"")</f>
        <v>5</v>
      </c>
      <c r="C249" s="13" t="n">
        <v>1</v>
      </c>
      <c r="D249" s="5" t="s">
        <v>1593</v>
      </c>
      <c r="E249" s="13" t="s">
        <v>164</v>
      </c>
      <c r="F249" s="5" t="str">
        <f aca="false">IFERROR(INDEX(İller!$M$5:$M$85,MATCH(A249,İller!$B$5:$B$85,0)),"")</f>
        <v>Fırat Kalkınma Ajansı</v>
      </c>
    </row>
    <row r="250" customFormat="false" ht="15" hidden="false" customHeight="false" outlineLevel="0" collapsed="false">
      <c r="A250" s="4" t="s">
        <v>1422</v>
      </c>
      <c r="B250" s="13" t="n">
        <f aca="false">IFERROR(INDEX(İller!$C$5:$C$85,MATCH(A250,İller!$B$5:$B$85,0)),"")</f>
        <v>5</v>
      </c>
      <c r="C250" s="13" t="n">
        <v>2</v>
      </c>
      <c r="D250" s="5" t="s">
        <v>1577</v>
      </c>
      <c r="E250" s="13" t="s">
        <v>164</v>
      </c>
      <c r="F250" s="5" t="str">
        <f aca="false">IFERROR(INDEX(İller!$M$5:$M$85,MATCH(A250,İller!$B$5:$B$85,0)),"")</f>
        <v>Fırat Kalkınma Ajansı</v>
      </c>
    </row>
    <row r="251" customFormat="false" ht="15" hidden="false" customHeight="false" outlineLevel="0" collapsed="false">
      <c r="A251" s="4" t="s">
        <v>1422</v>
      </c>
      <c r="B251" s="13" t="n">
        <f aca="false">IFERROR(INDEX(İller!$C$5:$C$85,MATCH(A251,İller!$B$5:$B$85,0)),"")</f>
        <v>5</v>
      </c>
      <c r="C251" s="13" t="n">
        <v>3</v>
      </c>
      <c r="D251" s="5" t="s">
        <v>1542</v>
      </c>
      <c r="E251" s="13" t="s">
        <v>164</v>
      </c>
      <c r="F251" s="5" t="str">
        <f aca="false">IFERROR(INDEX(İller!$M$5:$M$85,MATCH(A251,İller!$B$5:$B$85,0)),"")</f>
        <v>Fırat Kalkınma Ajansı</v>
      </c>
    </row>
    <row r="252" customFormat="false" ht="15" hidden="false" customHeight="false" outlineLevel="0" collapsed="false">
      <c r="A252" s="4" t="s">
        <v>1422</v>
      </c>
      <c r="B252" s="13" t="n">
        <f aca="false">IFERROR(INDEX(İller!$C$5:$C$85,MATCH(A252,İller!$B$5:$B$85,0)),"")</f>
        <v>5</v>
      </c>
      <c r="C252" s="13" t="n">
        <v>4</v>
      </c>
      <c r="D252" s="5" t="s">
        <v>1682</v>
      </c>
      <c r="E252" s="13" t="s">
        <v>164</v>
      </c>
      <c r="F252" s="5" t="str">
        <f aca="false">IFERROR(INDEX(İller!$M$5:$M$85,MATCH(A252,İller!$B$5:$B$85,0)),"")</f>
        <v>Fırat Kalkınma Ajansı</v>
      </c>
    </row>
    <row r="253" customFormat="false" ht="15" hidden="false" customHeight="false" outlineLevel="0" collapsed="false">
      <c r="A253" s="4" t="s">
        <v>1427</v>
      </c>
      <c r="B253" s="13" t="n">
        <f aca="false">IFERROR(INDEX(İller!$C$5:$C$85,MATCH(A253,İller!$B$5:$B$85,0)),"")</f>
        <v>6</v>
      </c>
      <c r="C253" s="13" t="n">
        <v>1</v>
      </c>
      <c r="D253" s="5" t="s">
        <v>1683</v>
      </c>
      <c r="E253" s="13" t="s">
        <v>164</v>
      </c>
      <c r="F253" s="5" t="str">
        <f aca="false">IFERROR(INDEX(İller!$M$5:$M$85,MATCH(A253,İller!$B$5:$B$85,0)),"")</f>
        <v>Karacadağ Kalkınma Ajansı</v>
      </c>
    </row>
    <row r="254" customFormat="false" ht="15" hidden="false" customHeight="false" outlineLevel="0" collapsed="false">
      <c r="A254" s="4" t="s">
        <v>1427</v>
      </c>
      <c r="B254" s="13" t="n">
        <f aca="false">IFERROR(INDEX(İller!$C$5:$C$85,MATCH(A254,İller!$B$5:$B$85,0)),"")</f>
        <v>6</v>
      </c>
      <c r="C254" s="13" t="n">
        <v>2</v>
      </c>
      <c r="D254" s="5" t="s">
        <v>1684</v>
      </c>
      <c r="E254" s="13" t="s">
        <v>164</v>
      </c>
      <c r="F254" s="5" t="str">
        <f aca="false">IFERROR(INDEX(İller!$M$5:$M$85,MATCH(A254,İller!$B$5:$B$85,0)),"")</f>
        <v>Karacadağ Kalkınma Ajansı</v>
      </c>
    </row>
    <row r="255" customFormat="false" ht="15" hidden="false" customHeight="false" outlineLevel="0" collapsed="false">
      <c r="A255" s="4" t="s">
        <v>1427</v>
      </c>
      <c r="B255" s="13" t="n">
        <f aca="false">IFERROR(INDEX(İller!$C$5:$C$85,MATCH(A255,İller!$B$5:$B$85,0)),"")</f>
        <v>6</v>
      </c>
      <c r="C255" s="13" t="n">
        <v>3</v>
      </c>
      <c r="D255" s="5" t="s">
        <v>1556</v>
      </c>
      <c r="E255" s="13" t="s">
        <v>164</v>
      </c>
      <c r="F255" s="5" t="str">
        <f aca="false">IFERROR(INDEX(İller!$M$5:$M$85,MATCH(A255,İller!$B$5:$B$85,0)),"")</f>
        <v>Karacadağ Kalkınma Ajansı</v>
      </c>
    </row>
    <row r="256" customFormat="false" ht="15" hidden="false" customHeight="false" outlineLevel="0" collapsed="false">
      <c r="A256" s="4" t="s">
        <v>1427</v>
      </c>
      <c r="B256" s="13" t="n">
        <f aca="false">IFERROR(INDEX(İller!$C$5:$C$85,MATCH(A256,İller!$B$5:$B$85,0)),"")</f>
        <v>6</v>
      </c>
      <c r="C256" s="13" t="n">
        <v>4</v>
      </c>
      <c r="D256" s="5" t="s">
        <v>1429</v>
      </c>
      <c r="E256" s="13" t="s">
        <v>1006</v>
      </c>
      <c r="F256" s="5" t="str">
        <f aca="false">IFERROR(INDEX(İller!$M$5:$M$85,MATCH(A256,İller!$B$5:$B$85,0)),"")</f>
        <v>Karacadağ Kalkınma Ajansı</v>
      </c>
    </row>
    <row r="257" customFormat="false" ht="15" hidden="false" customHeight="false" outlineLevel="0" collapsed="false">
      <c r="A257" s="4" t="s">
        <v>1433</v>
      </c>
      <c r="B257" s="13" t="n">
        <f aca="false">IFERROR(INDEX(İller!$C$5:$C$85,MATCH(A257,İller!$B$5:$B$85,0)),"")</f>
        <v>3</v>
      </c>
      <c r="C257" s="13" t="n">
        <v>1</v>
      </c>
      <c r="D257" s="5" t="s">
        <v>1685</v>
      </c>
      <c r="E257" s="13" t="s">
        <v>164</v>
      </c>
      <c r="F257" s="5" t="str">
        <f aca="false">IFERROR(INDEX(İller!$M$5:$M$85,MATCH(A257,İller!$B$5:$B$85,0)),"")</f>
        <v>Zafer Kalkınma Ajansı</v>
      </c>
    </row>
    <row r="258" customFormat="false" ht="15" hidden="false" customHeight="false" outlineLevel="0" collapsed="false">
      <c r="A258" s="4" t="s">
        <v>1433</v>
      </c>
      <c r="B258" s="13" t="n">
        <f aca="false">IFERROR(INDEX(İller!$C$5:$C$85,MATCH(A258,İller!$B$5:$B$85,0)),"")</f>
        <v>3</v>
      </c>
      <c r="C258" s="13" t="n">
        <v>2</v>
      </c>
      <c r="D258" s="5" t="s">
        <v>1686</v>
      </c>
      <c r="E258" s="13" t="s">
        <v>164</v>
      </c>
      <c r="F258" s="5" t="str">
        <f aca="false">IFERROR(INDEX(İller!$M$5:$M$85,MATCH(A258,İller!$B$5:$B$85,0)),"")</f>
        <v>Zafer Kalkınma Ajansı</v>
      </c>
    </row>
    <row r="259" customFormat="false" ht="15" hidden="false" customHeight="false" outlineLevel="0" collapsed="false">
      <c r="A259" s="4" t="s">
        <v>1433</v>
      </c>
      <c r="B259" s="13" t="n">
        <f aca="false">IFERROR(INDEX(İller!$C$5:$C$85,MATCH(A259,İller!$B$5:$B$85,0)),"")</f>
        <v>3</v>
      </c>
      <c r="C259" s="13" t="n">
        <v>3</v>
      </c>
      <c r="D259" s="5" t="s">
        <v>1687</v>
      </c>
      <c r="E259" s="13" t="s">
        <v>164</v>
      </c>
      <c r="F259" s="5" t="str">
        <f aca="false">IFERROR(INDEX(İller!$M$5:$M$85,MATCH(A259,İller!$B$5:$B$85,0)),"")</f>
        <v>Zafer Kalkınma Ajansı</v>
      </c>
    </row>
    <row r="260" customFormat="false" ht="15" hidden="false" customHeight="false" outlineLevel="0" collapsed="false">
      <c r="A260" s="4" t="s">
        <v>1433</v>
      </c>
      <c r="B260" s="13" t="n">
        <f aca="false">IFERROR(INDEX(İller!$C$5:$C$85,MATCH(A260,İller!$B$5:$B$85,0)),"")</f>
        <v>3</v>
      </c>
      <c r="C260" s="13" t="n">
        <v>4</v>
      </c>
      <c r="D260" s="5" t="s">
        <v>1688</v>
      </c>
      <c r="E260" s="13" t="s">
        <v>164</v>
      </c>
      <c r="F260" s="5" t="str">
        <f aca="false">IFERROR(INDEX(İller!$M$5:$M$85,MATCH(A260,İller!$B$5:$B$85,0)),"")</f>
        <v>Zafer Kalkınma Ajansı</v>
      </c>
    </row>
    <row r="261" customFormat="false" ht="15" hidden="false" customHeight="false" outlineLevel="0" collapsed="false">
      <c r="A261" s="4" t="s">
        <v>1438</v>
      </c>
      <c r="B261" s="13" t="n">
        <f aca="false">IFERROR(INDEX(İller!$C$5:$C$85,MATCH(A261,İller!$B$5:$B$85,0)),"")</f>
        <v>6</v>
      </c>
      <c r="C261" s="13" t="n">
        <v>1</v>
      </c>
      <c r="D261" s="5" t="s">
        <v>1595</v>
      </c>
      <c r="E261" s="13" t="s">
        <v>164</v>
      </c>
      <c r="F261" s="5" t="str">
        <f aca="false">IFERROR(INDEX(İller!$M$5:$M$85,MATCH(A261,İller!$B$5:$B$85,0)),"")</f>
        <v>Doğu Anadolu Kalkınma Ajansı</v>
      </c>
    </row>
    <row r="262" customFormat="false" ht="15" hidden="false" customHeight="false" outlineLevel="0" collapsed="false">
      <c r="A262" s="4" t="s">
        <v>1438</v>
      </c>
      <c r="B262" s="13" t="n">
        <f aca="false">IFERROR(INDEX(İller!$C$5:$C$85,MATCH(A262,İller!$B$5:$B$85,0)),"")</f>
        <v>6</v>
      </c>
      <c r="C262" s="13" t="n">
        <v>2</v>
      </c>
      <c r="D262" s="5" t="s">
        <v>1068</v>
      </c>
      <c r="E262" s="13" t="s">
        <v>1006</v>
      </c>
      <c r="F262" s="5" t="str">
        <f aca="false">IFERROR(INDEX(İller!$M$5:$M$85,MATCH(A262,İller!$B$5:$B$85,0)),"")</f>
        <v>Doğu Anadolu Kalkınma Ajansı</v>
      </c>
    </row>
    <row r="263" customFormat="false" ht="15" hidden="false" customHeight="false" outlineLevel="0" collapsed="false">
      <c r="A263" s="4" t="s">
        <v>1438</v>
      </c>
      <c r="B263" s="13" t="n">
        <f aca="false">IFERROR(INDEX(İller!$C$5:$C$85,MATCH(A263,İller!$B$5:$B$85,0)),"")</f>
        <v>6</v>
      </c>
      <c r="C263" s="13" t="n">
        <v>3</v>
      </c>
      <c r="D263" s="5" t="s">
        <v>1689</v>
      </c>
      <c r="E263" s="13" t="s">
        <v>164</v>
      </c>
      <c r="F263" s="5" t="str">
        <f aca="false">IFERROR(INDEX(İller!$M$5:$M$85,MATCH(A263,İller!$B$5:$B$85,0)),"")</f>
        <v>Doğu Anadolu Kalkınma Ajansı</v>
      </c>
    </row>
    <row r="264" customFormat="false" ht="15" hidden="false" customHeight="false" outlineLevel="0" collapsed="false">
      <c r="A264" s="4" t="s">
        <v>1438</v>
      </c>
      <c r="B264" s="13" t="n">
        <f aca="false">IFERROR(INDEX(İller!$C$5:$C$85,MATCH(A264,İller!$B$5:$B$85,0)),"")</f>
        <v>6</v>
      </c>
      <c r="C264" s="13" t="n">
        <v>4</v>
      </c>
      <c r="D264" s="5" t="s">
        <v>1690</v>
      </c>
      <c r="E264" s="13" t="s">
        <v>164</v>
      </c>
      <c r="F264" s="5" t="str">
        <f aca="false">IFERROR(INDEX(İller!$M$5:$M$85,MATCH(A264,İller!$B$5:$B$85,0)),"")</f>
        <v>Doğu Anadolu Kalkınma Ajansı</v>
      </c>
    </row>
    <row r="265" customFormat="false" ht="15" hidden="false" customHeight="false" outlineLevel="0" collapsed="false">
      <c r="A265" s="4" t="s">
        <v>1443</v>
      </c>
      <c r="B265" s="13" t="n">
        <f aca="false">IFERROR(INDEX(İller!$C$5:$C$85,MATCH(A265,İller!$B$5:$B$85,0)),"")</f>
        <v>5</v>
      </c>
      <c r="C265" s="13" t="n">
        <v>1</v>
      </c>
      <c r="D265" s="5" t="s">
        <v>1068</v>
      </c>
      <c r="E265" s="13" t="s">
        <v>1006</v>
      </c>
      <c r="F265" s="5" t="str">
        <f aca="false">IFERROR(INDEX(İller!$M$5:$M$85,MATCH(A265,İller!$B$5:$B$85,0)),"")</f>
        <v>Orta Anadolu Kalkınma Ajansı</v>
      </c>
    </row>
    <row r="266" customFormat="false" ht="15" hidden="false" customHeight="false" outlineLevel="0" collapsed="false">
      <c r="A266" s="4" t="s">
        <v>1443</v>
      </c>
      <c r="B266" s="13" t="n">
        <f aca="false">IFERROR(INDEX(İller!$C$5:$C$85,MATCH(A266,İller!$B$5:$B$85,0)),"")</f>
        <v>5</v>
      </c>
      <c r="C266" s="13" t="n">
        <v>2</v>
      </c>
      <c r="D266" s="5" t="s">
        <v>1691</v>
      </c>
      <c r="E266" s="13" t="s">
        <v>164</v>
      </c>
      <c r="F266" s="5" t="str">
        <f aca="false">IFERROR(INDEX(İller!$M$5:$M$85,MATCH(A266,İller!$B$5:$B$85,0)),"")</f>
        <v>Orta Anadolu Kalkınma Ajansı</v>
      </c>
    </row>
    <row r="267" customFormat="false" ht="15" hidden="false" customHeight="false" outlineLevel="0" collapsed="false">
      <c r="A267" s="4" t="s">
        <v>1443</v>
      </c>
      <c r="B267" s="13" t="n">
        <f aca="false">IFERROR(INDEX(İller!$C$5:$C$85,MATCH(A267,İller!$B$5:$B$85,0)),"")</f>
        <v>5</v>
      </c>
      <c r="C267" s="13" t="n">
        <v>3</v>
      </c>
      <c r="D267" s="5" t="s">
        <v>1617</v>
      </c>
      <c r="E267" s="13" t="s">
        <v>164</v>
      </c>
      <c r="F267" s="5" t="str">
        <f aca="false">IFERROR(INDEX(İller!$M$5:$M$85,MATCH(A267,İller!$B$5:$B$85,0)),"")</f>
        <v>Orta Anadolu Kalkınma Ajansı</v>
      </c>
    </row>
    <row r="268" customFormat="false" ht="15" hidden="false" customHeight="false" outlineLevel="0" collapsed="false">
      <c r="A268" s="4" t="s">
        <v>1443</v>
      </c>
      <c r="B268" s="13" t="n">
        <f aca="false">IFERROR(INDEX(İller!$C$5:$C$85,MATCH(A268,İller!$B$5:$B$85,0)),"")</f>
        <v>5</v>
      </c>
      <c r="C268" s="13" t="n">
        <v>4</v>
      </c>
      <c r="D268" s="5" t="s">
        <v>1692</v>
      </c>
      <c r="E268" s="13" t="s">
        <v>164</v>
      </c>
      <c r="F268" s="5" t="str">
        <f aca="false">IFERROR(INDEX(İller!$M$5:$M$85,MATCH(A268,İller!$B$5:$B$85,0)),"")</f>
        <v>Orta Anadolu Kalkınma Ajansı</v>
      </c>
    </row>
    <row r="269" customFormat="false" ht="15" hidden="false" customHeight="false" outlineLevel="0" collapsed="false">
      <c r="A269" s="4" t="s">
        <v>1447</v>
      </c>
      <c r="B269" s="13" t="n">
        <f aca="false">IFERROR(INDEX(İller!$C$5:$C$85,MATCH(A269,İller!$B$5:$B$85,0)),"")</f>
        <v>3</v>
      </c>
      <c r="C269" s="13" t="n">
        <v>1</v>
      </c>
      <c r="D269" s="5" t="s">
        <v>1554</v>
      </c>
      <c r="E269" s="13" t="s">
        <v>164</v>
      </c>
      <c r="F269" s="5" t="str">
        <f aca="false">IFERROR(INDEX(İller!$M$5:$M$85,MATCH(A269,İller!$B$5:$B$85,0)),"")</f>
        <v>Batı Karadeniz Kalkınma Ajansı</v>
      </c>
    </row>
    <row r="270" customFormat="false" ht="15" hidden="false" customHeight="false" outlineLevel="0" collapsed="false">
      <c r="A270" s="4" t="s">
        <v>1447</v>
      </c>
      <c r="B270" s="13" t="n">
        <f aca="false">IFERROR(INDEX(İller!$C$5:$C$85,MATCH(A270,İller!$B$5:$B$85,0)),"")</f>
        <v>3</v>
      </c>
      <c r="C270" s="13" t="n">
        <v>2</v>
      </c>
      <c r="D270" s="5" t="s">
        <v>1450</v>
      </c>
      <c r="E270" s="13" t="s">
        <v>1006</v>
      </c>
      <c r="F270" s="5" t="str">
        <f aca="false">IFERROR(INDEX(İller!$M$5:$M$85,MATCH(A270,İller!$B$5:$B$85,0)),"")</f>
        <v>Batı Karadeniz Kalkınma Ajansı</v>
      </c>
    </row>
    <row r="271" customFormat="false" ht="15" hidden="false" customHeight="false" outlineLevel="0" collapsed="false">
      <c r="A271" s="4" t="s">
        <v>1447</v>
      </c>
      <c r="B271" s="13" t="n">
        <f aca="false">IFERROR(INDEX(İller!$C$5:$C$85,MATCH(A271,İller!$B$5:$B$85,0)),"")</f>
        <v>3</v>
      </c>
      <c r="C271" s="13" t="n">
        <v>3</v>
      </c>
      <c r="D271" s="5" t="s">
        <v>1533</v>
      </c>
      <c r="E271" s="13" t="s">
        <v>164</v>
      </c>
      <c r="F271" s="5" t="str">
        <f aca="false">IFERROR(INDEX(İller!$M$5:$M$85,MATCH(A271,İller!$B$5:$B$85,0)),"")</f>
        <v>Batı Karadeniz Kalkınma Ajansı</v>
      </c>
    </row>
    <row r="272" customFormat="false" ht="15" hidden="false" customHeight="false" outlineLevel="0" collapsed="false">
      <c r="A272" s="4" t="s">
        <v>1447</v>
      </c>
      <c r="B272" s="13" t="n">
        <f aca="false">IFERROR(INDEX(İller!$C$5:$C$85,MATCH(A272,İller!$B$5:$B$85,0)),"")</f>
        <v>3</v>
      </c>
      <c r="C272" s="13" t="n">
        <v>4</v>
      </c>
      <c r="D272" s="5" t="s">
        <v>1693</v>
      </c>
      <c r="E272" s="13" t="s">
        <v>164</v>
      </c>
      <c r="F272" s="5" t="str">
        <f aca="false">IFERROR(INDEX(İller!$M$5:$M$85,MATCH(A272,İller!$B$5:$B$85,0)),"")</f>
        <v>Batı Karadeniz Kalkınma Ajansı</v>
      </c>
    </row>
    <row r="273" customFormat="false" ht="15" hidden="false" customHeight="false" outlineLevel="0" collapsed="false">
      <c r="A273" s="4" t="s">
        <v>1455</v>
      </c>
      <c r="B273" s="13" t="n">
        <f aca="false">IFERROR(INDEX(İller!$C$5:$C$85,MATCH(A273,İller!$B$5:$B$85,0)),"")</f>
        <v>4</v>
      </c>
      <c r="C273" s="13" t="n">
        <v>1</v>
      </c>
      <c r="D273" s="5" t="s">
        <v>1566</v>
      </c>
      <c r="E273" s="13" t="s">
        <v>164</v>
      </c>
      <c r="F273" s="5" t="str">
        <f aca="false">IFERROR(INDEX(İller!$M$5:$M$85,MATCH(A273,İller!$B$5:$B$85,0)),"")</f>
        <v>Ahiler Kalkınma Ajansı</v>
      </c>
    </row>
    <row r="274" customFormat="false" ht="15" hidden="false" customHeight="false" outlineLevel="0" collapsed="false">
      <c r="A274" s="4" t="s">
        <v>1455</v>
      </c>
      <c r="B274" s="13" t="n">
        <f aca="false">IFERROR(INDEX(İller!$C$5:$C$85,MATCH(A274,İller!$B$5:$B$85,0)),"")</f>
        <v>4</v>
      </c>
      <c r="C274" s="13" t="n">
        <v>2</v>
      </c>
      <c r="D274" s="5" t="s">
        <v>1458</v>
      </c>
      <c r="E274" s="13" t="s">
        <v>1006</v>
      </c>
      <c r="F274" s="5" t="str">
        <f aca="false">IFERROR(INDEX(İller!$M$5:$M$85,MATCH(A274,İller!$B$5:$B$85,0)),"")</f>
        <v>Ahiler Kalkınma Ajansı</v>
      </c>
    </row>
    <row r="275" customFormat="false" ht="15" hidden="false" customHeight="false" outlineLevel="0" collapsed="false">
      <c r="A275" s="4" t="s">
        <v>1455</v>
      </c>
      <c r="B275" s="13" t="n">
        <f aca="false">IFERROR(INDEX(İller!$C$5:$C$85,MATCH(A275,İller!$B$5:$B$85,0)),"")</f>
        <v>4</v>
      </c>
      <c r="C275" s="13" t="n">
        <v>3</v>
      </c>
      <c r="D275" s="5" t="s">
        <v>1694</v>
      </c>
      <c r="E275" s="13" t="s">
        <v>164</v>
      </c>
      <c r="F275" s="5" t="str">
        <f aca="false">IFERROR(INDEX(İller!$M$5:$M$85,MATCH(A275,İller!$B$5:$B$85,0)),"")</f>
        <v>Ahiler Kalkınma Ajansı</v>
      </c>
    </row>
    <row r="276" customFormat="false" ht="15" hidden="false" customHeight="false" outlineLevel="0" collapsed="false">
      <c r="A276" s="4" t="s">
        <v>1455</v>
      </c>
      <c r="B276" s="13" t="n">
        <f aca="false">IFERROR(INDEX(İller!$C$5:$C$85,MATCH(A276,İller!$B$5:$B$85,0)),"")</f>
        <v>4</v>
      </c>
      <c r="C276" s="13" t="n">
        <v>4</v>
      </c>
      <c r="D276" s="5" t="s">
        <v>1695</v>
      </c>
      <c r="E276" s="13" t="s">
        <v>164</v>
      </c>
      <c r="F276" s="5" t="str">
        <f aca="false">IFERROR(INDEX(İller!$M$5:$M$85,MATCH(A276,İller!$B$5:$B$85,0)),"")</f>
        <v>Ahiler Kalkınma Ajansı</v>
      </c>
    </row>
    <row r="277" customFormat="false" ht="15" hidden="false" customHeight="false" outlineLevel="0" collapsed="false">
      <c r="A277" s="4" t="s">
        <v>1462</v>
      </c>
      <c r="B277" s="13" t="n">
        <f aca="false">IFERROR(INDEX(İller!$C$5:$C$85,MATCH(A277,İller!$B$5:$B$85,0)),"")</f>
        <v>5</v>
      </c>
      <c r="C277" s="13" t="n">
        <v>1</v>
      </c>
      <c r="D277" s="5" t="s">
        <v>1577</v>
      </c>
      <c r="E277" s="13" t="s">
        <v>164</v>
      </c>
      <c r="F277" s="5" t="str">
        <f aca="false">IFERROR(INDEX(İller!$M$5:$M$85,MATCH(A277,İller!$B$5:$B$85,0)),"")</f>
        <v>Kuzey Doğu Anadolu Kalkınma Ajansı</v>
      </c>
    </row>
    <row r="278" customFormat="false" ht="15" hidden="false" customHeight="false" outlineLevel="0" collapsed="false">
      <c r="A278" s="4" t="s">
        <v>1462</v>
      </c>
      <c r="B278" s="13" t="n">
        <f aca="false">IFERROR(INDEX(İller!$C$5:$C$85,MATCH(A278,İller!$B$5:$B$85,0)),"")</f>
        <v>5</v>
      </c>
      <c r="C278" s="13" t="n">
        <v>2</v>
      </c>
      <c r="D278" s="5" t="s">
        <v>1535</v>
      </c>
      <c r="E278" s="13" t="s">
        <v>164</v>
      </c>
      <c r="F278" s="5" t="str">
        <f aca="false">IFERROR(INDEX(İller!$M$5:$M$85,MATCH(A278,İller!$B$5:$B$85,0)),"")</f>
        <v>Kuzey Doğu Anadolu Kalkınma Ajansı</v>
      </c>
    </row>
    <row r="279" customFormat="false" ht="15" hidden="false" customHeight="false" outlineLevel="0" collapsed="false">
      <c r="A279" s="4" t="s">
        <v>1462</v>
      </c>
      <c r="B279" s="13" t="n">
        <f aca="false">IFERROR(INDEX(İller!$C$5:$C$85,MATCH(A279,İller!$B$5:$B$85,0)),"")</f>
        <v>5</v>
      </c>
      <c r="C279" s="13" t="n">
        <v>3</v>
      </c>
      <c r="D279" s="5" t="s">
        <v>1696</v>
      </c>
      <c r="E279" s="13" t="s">
        <v>164</v>
      </c>
      <c r="F279" s="5" t="str">
        <f aca="false">IFERROR(INDEX(İller!$M$5:$M$85,MATCH(A279,İller!$B$5:$B$85,0)),"")</f>
        <v>Kuzey Doğu Anadolu Kalkınma Ajansı</v>
      </c>
    </row>
    <row r="280" customFormat="false" ht="15" hidden="false" customHeight="false" outlineLevel="0" collapsed="false">
      <c r="A280" s="4" t="s">
        <v>1462</v>
      </c>
      <c r="B280" s="13" t="n">
        <f aca="false">IFERROR(INDEX(İller!$C$5:$C$85,MATCH(A280,İller!$B$5:$B$85,0)),"")</f>
        <v>5</v>
      </c>
      <c r="C280" s="13" t="n">
        <v>4</v>
      </c>
      <c r="D280" s="5" t="s">
        <v>1697</v>
      </c>
      <c r="E280" s="13" t="s">
        <v>164</v>
      </c>
      <c r="F280" s="5" t="str">
        <f aca="false">IFERROR(INDEX(İller!$M$5:$M$85,MATCH(A280,İller!$B$5:$B$85,0)),"")</f>
        <v>Kuzey Doğu Anadolu Kalkınma Ajansı</v>
      </c>
    </row>
    <row r="281" customFormat="false" ht="15" hidden="false" customHeight="false" outlineLevel="0" collapsed="false">
      <c r="A281" s="4" t="s">
        <v>1467</v>
      </c>
      <c r="B281" s="13" t="n">
        <f aca="false">IFERROR(INDEX(İller!$C$5:$C$85,MATCH(A281,İller!$B$5:$B$85,0)),"")</f>
        <v>3</v>
      </c>
      <c r="C281" s="13" t="n">
        <v>1</v>
      </c>
      <c r="D281" s="5" t="s">
        <v>1673</v>
      </c>
      <c r="E281" s="13" t="s">
        <v>164</v>
      </c>
      <c r="F281" s="5" t="str">
        <f aca="false">IFERROR(INDEX(İller!$M$5:$M$85,MATCH(A281,İller!$B$5:$B$85,0)),"")</f>
        <v>Mevlana Kalkınma Ajansı</v>
      </c>
    </row>
    <row r="282" customFormat="false" ht="15" hidden="false" customHeight="false" outlineLevel="0" collapsed="false">
      <c r="A282" s="4" t="s">
        <v>1467</v>
      </c>
      <c r="B282" s="13" t="n">
        <f aca="false">IFERROR(INDEX(İller!$C$5:$C$85,MATCH(A282,İller!$B$5:$B$85,0)),"")</f>
        <v>3</v>
      </c>
      <c r="C282" s="13" t="n">
        <v>2</v>
      </c>
      <c r="D282" s="5" t="s">
        <v>1698</v>
      </c>
      <c r="E282" s="13" t="s">
        <v>164</v>
      </c>
      <c r="F282" s="5" t="str">
        <f aca="false">IFERROR(INDEX(İller!$M$5:$M$85,MATCH(A282,İller!$B$5:$B$85,0)),"")</f>
        <v>Mevlana Kalkınma Ajansı</v>
      </c>
    </row>
    <row r="283" customFormat="false" ht="15" hidden="false" customHeight="false" outlineLevel="0" collapsed="false">
      <c r="A283" s="4" t="s">
        <v>1467</v>
      </c>
      <c r="B283" s="13" t="n">
        <f aca="false">IFERROR(INDEX(İller!$C$5:$C$85,MATCH(A283,İller!$B$5:$B$85,0)),"")</f>
        <v>3</v>
      </c>
      <c r="C283" s="13" t="n">
        <v>3</v>
      </c>
      <c r="D283" s="5" t="s">
        <v>1699</v>
      </c>
      <c r="E283" s="13" t="s">
        <v>164</v>
      </c>
      <c r="F283" s="5" t="str">
        <f aca="false">IFERROR(INDEX(İller!$M$5:$M$85,MATCH(A283,İller!$B$5:$B$85,0)),"")</f>
        <v>Mevlana Kalkınma Ajansı</v>
      </c>
    </row>
    <row r="284" customFormat="false" ht="15" hidden="false" customHeight="false" outlineLevel="0" collapsed="false">
      <c r="A284" s="4" t="s">
        <v>1467</v>
      </c>
      <c r="B284" s="13" t="n">
        <f aca="false">IFERROR(INDEX(İller!$C$5:$C$85,MATCH(A284,İller!$B$5:$B$85,0)),"")</f>
        <v>3</v>
      </c>
      <c r="C284" s="13" t="n">
        <v>4</v>
      </c>
      <c r="D284" s="5" t="s">
        <v>1700</v>
      </c>
      <c r="E284" s="13" t="s">
        <v>164</v>
      </c>
      <c r="F284" s="5" t="str">
        <f aca="false">IFERROR(INDEX(İller!$M$5:$M$85,MATCH(A284,İller!$B$5:$B$85,0)),"")</f>
        <v>Mevlana Kalkınma Ajansı</v>
      </c>
    </row>
    <row r="285" customFormat="false" ht="15" hidden="false" customHeight="false" outlineLevel="0" collapsed="false">
      <c r="A285" s="4" t="s">
        <v>1473</v>
      </c>
      <c r="B285" s="13" t="n">
        <f aca="false">IFERROR(INDEX(İller!$C$5:$C$85,MATCH(A285,İller!$B$5:$B$85,0)),"")</f>
        <v>3</v>
      </c>
      <c r="C285" s="13" t="n">
        <v>1</v>
      </c>
      <c r="D285" s="5" t="s">
        <v>1476</v>
      </c>
      <c r="E285" s="13" t="s">
        <v>1006</v>
      </c>
      <c r="F285" s="5" t="str">
        <f aca="false">IFERROR(INDEX(İller!$M$5:$M$85,MATCH(A285,İller!$B$5:$B$85,0)),"")</f>
        <v>Ahiler Kalkınma Ajansı</v>
      </c>
    </row>
    <row r="286" customFormat="false" ht="15" hidden="false" customHeight="false" outlineLevel="0" collapsed="false">
      <c r="A286" s="4" t="s">
        <v>1473</v>
      </c>
      <c r="B286" s="13" t="n">
        <f aca="false">IFERROR(INDEX(İller!$C$5:$C$85,MATCH(A286,İller!$B$5:$B$85,0)),"")</f>
        <v>3</v>
      </c>
      <c r="C286" s="13" t="n">
        <v>2</v>
      </c>
      <c r="D286" s="5" t="s">
        <v>1701</v>
      </c>
      <c r="E286" s="13" t="s">
        <v>164</v>
      </c>
      <c r="F286" s="5" t="str">
        <f aca="false">IFERROR(INDEX(İller!$M$5:$M$85,MATCH(A286,İller!$B$5:$B$85,0)),"")</f>
        <v>Ahiler Kalkınma Ajansı</v>
      </c>
    </row>
    <row r="287" customFormat="false" ht="15" hidden="false" customHeight="false" outlineLevel="0" collapsed="false">
      <c r="A287" s="4" t="s">
        <v>1473</v>
      </c>
      <c r="B287" s="13" t="n">
        <f aca="false">IFERROR(INDEX(İller!$C$5:$C$85,MATCH(A287,İller!$B$5:$B$85,0)),"")</f>
        <v>3</v>
      </c>
      <c r="C287" s="13" t="n">
        <v>3</v>
      </c>
      <c r="D287" s="5" t="s">
        <v>1702</v>
      </c>
      <c r="E287" s="13" t="s">
        <v>164</v>
      </c>
      <c r="F287" s="5" t="str">
        <f aca="false">IFERROR(INDEX(İller!$M$5:$M$85,MATCH(A287,İller!$B$5:$B$85,0)),"")</f>
        <v>Ahiler Kalkınma Ajansı</v>
      </c>
    </row>
    <row r="288" customFormat="false" ht="15" hidden="false" customHeight="false" outlineLevel="0" collapsed="false">
      <c r="A288" s="4" t="s">
        <v>1473</v>
      </c>
      <c r="B288" s="13" t="n">
        <f aca="false">IFERROR(INDEX(İller!$C$5:$C$85,MATCH(A288,İller!$B$5:$B$85,0)),"")</f>
        <v>3</v>
      </c>
      <c r="C288" s="13" t="n">
        <v>4</v>
      </c>
      <c r="D288" s="5" t="s">
        <v>1703</v>
      </c>
      <c r="E288" s="13" t="s">
        <v>164</v>
      </c>
      <c r="F288" s="5" t="str">
        <f aca="false">IFERROR(INDEX(İller!$M$5:$M$85,MATCH(A288,İller!$B$5:$B$85,0)),"")</f>
        <v>Ahiler Kalkınma Ajansı</v>
      </c>
    </row>
    <row r="289" customFormat="false" ht="15" hidden="false" customHeight="false" outlineLevel="0" collapsed="false">
      <c r="A289" s="4" t="s">
        <v>1480</v>
      </c>
      <c r="B289" s="13" t="n">
        <f aca="false">IFERROR(INDEX(İller!$C$5:$C$85,MATCH(A289,İller!$B$5:$B$85,0)),"")</f>
        <v>6</v>
      </c>
      <c r="C289" s="13" t="n">
        <v>1</v>
      </c>
      <c r="D289" s="5" t="s">
        <v>1704</v>
      </c>
      <c r="E289" s="13" t="s">
        <v>164</v>
      </c>
      <c r="F289" s="5" t="str">
        <f aca="false">IFERROR(INDEX(İller!$M$5:$M$85,MATCH(A289,İller!$B$5:$B$85,0)),"")</f>
        <v>Dicle Kalkınma Ajansı</v>
      </c>
    </row>
    <row r="290" customFormat="false" ht="15" hidden="false" customHeight="false" outlineLevel="0" collapsed="false">
      <c r="A290" s="4" t="s">
        <v>1480</v>
      </c>
      <c r="B290" s="13" t="n">
        <f aca="false">IFERROR(INDEX(İller!$C$5:$C$85,MATCH(A290,İller!$B$5:$B$85,0)),"")</f>
        <v>6</v>
      </c>
      <c r="C290" s="13" t="n">
        <v>2</v>
      </c>
      <c r="D290" s="5" t="s">
        <v>1705</v>
      </c>
      <c r="E290" s="13" t="s">
        <v>164</v>
      </c>
      <c r="F290" s="5" t="str">
        <f aca="false">IFERROR(INDEX(İller!$M$5:$M$85,MATCH(A290,İller!$B$5:$B$85,0)),"")</f>
        <v>Dicle Kalkınma Ajansı</v>
      </c>
    </row>
    <row r="291" customFormat="false" ht="15" hidden="false" customHeight="false" outlineLevel="0" collapsed="false">
      <c r="A291" s="4" t="s">
        <v>1480</v>
      </c>
      <c r="B291" s="13" t="n">
        <f aca="false">IFERROR(INDEX(İller!$C$5:$C$85,MATCH(A291,İller!$B$5:$B$85,0)),"")</f>
        <v>6</v>
      </c>
      <c r="C291" s="13" t="n">
        <v>3</v>
      </c>
      <c r="D291" s="5" t="s">
        <v>1554</v>
      </c>
      <c r="E291" s="13" t="s">
        <v>164</v>
      </c>
      <c r="F291" s="5" t="str">
        <f aca="false">IFERROR(INDEX(İller!$M$5:$M$85,MATCH(A291,İller!$B$5:$B$85,0)),"")</f>
        <v>Dicle Kalkınma Ajansı</v>
      </c>
    </row>
    <row r="292" customFormat="false" ht="15" hidden="false" customHeight="false" outlineLevel="0" collapsed="false">
      <c r="A292" s="4" t="s">
        <v>1480</v>
      </c>
      <c r="B292" s="13" t="n">
        <f aca="false">IFERROR(INDEX(İller!$C$5:$C$85,MATCH(A292,İller!$B$5:$B$85,0)),"")</f>
        <v>6</v>
      </c>
      <c r="C292" s="13" t="n">
        <v>4</v>
      </c>
      <c r="D292" s="5" t="s">
        <v>1587</v>
      </c>
      <c r="E292" s="13" t="s">
        <v>164</v>
      </c>
      <c r="F292" s="5" t="str">
        <f aca="false">IFERROR(INDEX(İller!$M$5:$M$85,MATCH(A292,İller!$B$5:$B$85,0)),"")</f>
        <v>Dicle Kalkınma Ajansı</v>
      </c>
    </row>
    <row r="293" customFormat="false" ht="15" hidden="false" customHeight="false" outlineLevel="0" collapsed="false">
      <c r="A293" s="4" t="s">
        <v>1483</v>
      </c>
      <c r="B293" s="13" t="n">
        <f aca="false">IFERROR(INDEX(İller!$C$5:$C$85,MATCH(A293,İller!$B$5:$B$85,0)),"")</f>
        <v>6</v>
      </c>
      <c r="C293" s="13" t="n">
        <v>1</v>
      </c>
      <c r="D293" s="5" t="s">
        <v>1542</v>
      </c>
      <c r="E293" s="13" t="s">
        <v>164</v>
      </c>
      <c r="F293" s="5" t="str">
        <f aca="false">IFERROR(INDEX(İller!$M$5:$M$85,MATCH(A293,İller!$B$5:$B$85,0)),"")</f>
        <v>Dicle Kalkınma Ajansı</v>
      </c>
    </row>
    <row r="294" customFormat="false" ht="15" hidden="false" customHeight="false" outlineLevel="0" collapsed="false">
      <c r="A294" s="4" t="s">
        <v>1483</v>
      </c>
      <c r="B294" s="13" t="n">
        <f aca="false">IFERROR(INDEX(İller!$C$5:$C$85,MATCH(A294,İller!$B$5:$B$85,0)),"")</f>
        <v>6</v>
      </c>
      <c r="C294" s="13" t="n">
        <v>2</v>
      </c>
      <c r="D294" s="5" t="s">
        <v>1706</v>
      </c>
      <c r="E294" s="13" t="s">
        <v>164</v>
      </c>
      <c r="F294" s="5" t="str">
        <f aca="false">IFERROR(INDEX(İller!$M$5:$M$85,MATCH(A294,İller!$B$5:$B$85,0)),"")</f>
        <v>Dicle Kalkınma Ajansı</v>
      </c>
    </row>
    <row r="295" customFormat="false" ht="15" hidden="false" customHeight="false" outlineLevel="0" collapsed="false">
      <c r="A295" s="4" t="s">
        <v>1483</v>
      </c>
      <c r="B295" s="13" t="n">
        <f aca="false">IFERROR(INDEX(İller!$C$5:$C$85,MATCH(A295,İller!$B$5:$B$85,0)),"")</f>
        <v>6</v>
      </c>
      <c r="C295" s="13" t="n">
        <v>3</v>
      </c>
      <c r="D295" s="5" t="s">
        <v>1707</v>
      </c>
      <c r="E295" s="13" t="s">
        <v>164</v>
      </c>
      <c r="F295" s="5" t="str">
        <f aca="false">IFERROR(INDEX(İller!$M$5:$M$85,MATCH(A295,İller!$B$5:$B$85,0)),"")</f>
        <v>Dicle Kalkınma Ajansı</v>
      </c>
    </row>
    <row r="296" customFormat="false" ht="15" hidden="false" customHeight="false" outlineLevel="0" collapsed="false">
      <c r="A296" s="4" t="s">
        <v>1483</v>
      </c>
      <c r="B296" s="13" t="n">
        <f aca="false">IFERROR(INDEX(İller!$C$5:$C$85,MATCH(A296,İller!$B$5:$B$85,0)),"")</f>
        <v>6</v>
      </c>
      <c r="C296" s="13" t="n">
        <v>4</v>
      </c>
      <c r="D296" s="5" t="s">
        <v>1708</v>
      </c>
      <c r="E296" s="13" t="s">
        <v>164</v>
      </c>
      <c r="F296" s="5" t="str">
        <f aca="false">IFERROR(INDEX(İller!$M$5:$M$85,MATCH(A296,İller!$B$5:$B$85,0)),"")</f>
        <v>Dicle Kalkınma Ajansı</v>
      </c>
    </row>
    <row r="297" customFormat="false" ht="15" hidden="false" customHeight="false" outlineLevel="0" collapsed="false">
      <c r="A297" s="4" t="s">
        <v>1486</v>
      </c>
      <c r="B297" s="13" t="n">
        <f aca="false">IFERROR(INDEX(İller!$C$5:$C$85,MATCH(A297,İller!$B$5:$B$85,0)),"")</f>
        <v>5</v>
      </c>
      <c r="C297" s="13" t="n">
        <v>1</v>
      </c>
      <c r="D297" s="5" t="s">
        <v>1538</v>
      </c>
      <c r="E297" s="13" t="s">
        <v>164</v>
      </c>
      <c r="F297" s="5" t="str">
        <f aca="false">IFERROR(INDEX(İller!$M$5:$M$85,MATCH(A297,İller!$B$5:$B$85,0)),"")</f>
        <v>Batı Karadeniz Kalkınma Ajansı</v>
      </c>
    </row>
    <row r="298" customFormat="false" ht="15" hidden="false" customHeight="false" outlineLevel="0" collapsed="false">
      <c r="A298" s="4" t="s">
        <v>1486</v>
      </c>
      <c r="B298" s="13" t="n">
        <f aca="false">IFERROR(INDEX(İller!$C$5:$C$85,MATCH(A298,İller!$B$5:$B$85,0)),"")</f>
        <v>5</v>
      </c>
      <c r="C298" s="13" t="n">
        <v>2</v>
      </c>
      <c r="D298" s="5" t="s">
        <v>1554</v>
      </c>
      <c r="E298" s="13" t="s">
        <v>164</v>
      </c>
      <c r="F298" s="5" t="str">
        <f aca="false">IFERROR(INDEX(İller!$M$5:$M$85,MATCH(A298,İller!$B$5:$B$85,0)),"")</f>
        <v>Batı Karadeniz Kalkınma Ajansı</v>
      </c>
    </row>
    <row r="299" customFormat="false" ht="15" hidden="false" customHeight="false" outlineLevel="0" collapsed="false">
      <c r="A299" s="4" t="s">
        <v>1486</v>
      </c>
      <c r="B299" s="13" t="n">
        <f aca="false">IFERROR(INDEX(İller!$C$5:$C$85,MATCH(A299,İller!$B$5:$B$85,0)),"")</f>
        <v>5</v>
      </c>
      <c r="C299" s="13" t="n">
        <v>3</v>
      </c>
      <c r="D299" s="5" t="s">
        <v>1450</v>
      </c>
      <c r="E299" s="13" t="s">
        <v>1006</v>
      </c>
      <c r="F299" s="5" t="str">
        <f aca="false">IFERROR(INDEX(İller!$M$5:$M$85,MATCH(A299,İller!$B$5:$B$85,0)),"")</f>
        <v>Batı Karadeniz Kalkınma Ajansı</v>
      </c>
    </row>
    <row r="300" customFormat="false" ht="15" hidden="false" customHeight="false" outlineLevel="0" collapsed="false">
      <c r="A300" s="4" t="s">
        <v>1486</v>
      </c>
      <c r="B300" s="13" t="n">
        <f aca="false">IFERROR(INDEX(İller!$C$5:$C$85,MATCH(A300,İller!$B$5:$B$85,0)),"")</f>
        <v>5</v>
      </c>
      <c r="C300" s="13" t="n">
        <v>4</v>
      </c>
      <c r="D300" s="5" t="s">
        <v>1709</v>
      </c>
      <c r="E300" s="13" t="s">
        <v>1006</v>
      </c>
      <c r="F300" s="5" t="str">
        <f aca="false">IFERROR(INDEX(İller!$M$5:$M$85,MATCH(A300,İller!$B$5:$B$85,0)),"")</f>
        <v>Batı Karadeniz Kalkınma Ajansı</v>
      </c>
    </row>
    <row r="301" customFormat="false" ht="15" hidden="false" customHeight="false" outlineLevel="0" collapsed="false">
      <c r="A301" s="4" t="s">
        <v>1491</v>
      </c>
      <c r="B301" s="13" t="n">
        <f aca="false">IFERROR(INDEX(İller!$C$5:$C$85,MATCH(A301,İller!$B$5:$B$85,0)),"")</f>
        <v>6</v>
      </c>
      <c r="C301" s="13" t="n">
        <v>1</v>
      </c>
      <c r="D301" s="5" t="s">
        <v>1535</v>
      </c>
      <c r="E301" s="13" t="s">
        <v>164</v>
      </c>
      <c r="F301" s="5" t="str">
        <f aca="false">IFERROR(INDEX(İller!$M$5:$M$85,MATCH(A301,İller!$B$5:$B$85,0)),"")</f>
        <v>Serhat Kalkınma Ajansı</v>
      </c>
    </row>
    <row r="302" customFormat="false" ht="15" hidden="false" customHeight="false" outlineLevel="0" collapsed="false">
      <c r="A302" s="4" t="s">
        <v>1491</v>
      </c>
      <c r="B302" s="13" t="n">
        <f aca="false">IFERROR(INDEX(İller!$C$5:$C$85,MATCH(A302,İller!$B$5:$B$85,0)),"")</f>
        <v>6</v>
      </c>
      <c r="C302" s="13" t="n">
        <v>2</v>
      </c>
      <c r="D302" s="5" t="s">
        <v>1537</v>
      </c>
      <c r="E302" s="13" t="s">
        <v>164</v>
      </c>
      <c r="F302" s="5" t="str">
        <f aca="false">IFERROR(INDEX(İller!$M$5:$M$85,MATCH(A302,İller!$B$5:$B$85,0)),"")</f>
        <v>Serhat Kalkınma Ajansı</v>
      </c>
    </row>
    <row r="303" customFormat="false" ht="15" hidden="false" customHeight="false" outlineLevel="0" collapsed="false">
      <c r="A303" s="4" t="s">
        <v>1491</v>
      </c>
      <c r="B303" s="13" t="n">
        <f aca="false">IFERROR(INDEX(İller!$C$5:$C$85,MATCH(A303,İller!$B$5:$B$85,0)),"")</f>
        <v>6</v>
      </c>
      <c r="C303" s="13" t="n">
        <v>3</v>
      </c>
      <c r="D303" s="5" t="s">
        <v>1628</v>
      </c>
      <c r="E303" s="13" t="s">
        <v>164</v>
      </c>
      <c r="F303" s="5" t="str">
        <f aca="false">IFERROR(INDEX(İller!$M$5:$M$85,MATCH(A303,İller!$B$5:$B$85,0)),"")</f>
        <v>Serhat Kalkınma Ajansı</v>
      </c>
    </row>
    <row r="304" customFormat="false" ht="15" hidden="false" customHeight="false" outlineLevel="0" collapsed="false">
      <c r="A304" s="4" t="s">
        <v>1491</v>
      </c>
      <c r="B304" s="13" t="n">
        <f aca="false">IFERROR(INDEX(İller!$C$5:$C$85,MATCH(A304,İller!$B$5:$B$85,0)),"")</f>
        <v>6</v>
      </c>
      <c r="C304" s="13" t="n">
        <v>4</v>
      </c>
      <c r="D304" s="5" t="s">
        <v>1707</v>
      </c>
      <c r="E304" s="13" t="s">
        <v>164</v>
      </c>
      <c r="F304" s="5" t="str">
        <f aca="false">IFERROR(INDEX(İller!$M$5:$M$85,MATCH(A304,İller!$B$5:$B$85,0)),"")</f>
        <v>Serhat Kalkınma Ajansı</v>
      </c>
    </row>
    <row r="305" customFormat="false" ht="15" hidden="false" customHeight="false" outlineLevel="0" collapsed="false">
      <c r="A305" s="4" t="s">
        <v>1496</v>
      </c>
      <c r="B305" s="13" t="n">
        <f aca="false">IFERROR(INDEX(İller!$C$5:$C$85,MATCH(A305,İller!$B$5:$B$85,0)),"")</f>
        <v>6</v>
      </c>
      <c r="C305" s="13" t="n">
        <v>1</v>
      </c>
      <c r="D305" s="5" t="s">
        <v>1537</v>
      </c>
      <c r="E305" s="13" t="s">
        <v>164</v>
      </c>
      <c r="F305" s="5" t="str">
        <f aca="false">IFERROR(INDEX(İller!$M$5:$M$85,MATCH(A305,İller!$B$5:$B$85,0)),"")</f>
        <v>Serhat Kalkınma Ajansı</v>
      </c>
    </row>
    <row r="306" customFormat="false" ht="15" hidden="false" customHeight="false" outlineLevel="0" collapsed="false">
      <c r="A306" s="4" t="s">
        <v>1496</v>
      </c>
      <c r="B306" s="13" t="n">
        <f aca="false">IFERROR(INDEX(İller!$C$5:$C$85,MATCH(A306,İller!$B$5:$B$85,0)),"")</f>
        <v>6</v>
      </c>
      <c r="C306" s="13" t="n">
        <v>2</v>
      </c>
      <c r="D306" s="5" t="s">
        <v>1535</v>
      </c>
      <c r="E306" s="13" t="s">
        <v>164</v>
      </c>
      <c r="F306" s="5" t="str">
        <f aca="false">IFERROR(INDEX(İller!$M$5:$M$85,MATCH(A306,İller!$B$5:$B$85,0)),"")</f>
        <v>Serhat Kalkınma Ajansı</v>
      </c>
    </row>
    <row r="307" customFormat="false" ht="15" hidden="false" customHeight="false" outlineLevel="0" collapsed="false">
      <c r="A307" s="4" t="s">
        <v>1496</v>
      </c>
      <c r="B307" s="13" t="n">
        <f aca="false">IFERROR(INDEX(İller!$C$5:$C$85,MATCH(A307,İller!$B$5:$B$85,0)),"")</f>
        <v>6</v>
      </c>
      <c r="C307" s="13" t="n">
        <v>3</v>
      </c>
      <c r="D307" s="5" t="s">
        <v>1710</v>
      </c>
      <c r="E307" s="13" t="s">
        <v>164</v>
      </c>
      <c r="F307" s="5" t="str">
        <f aca="false">IFERROR(INDEX(İller!$M$5:$M$85,MATCH(A307,İller!$B$5:$B$85,0)),"")</f>
        <v>Serhat Kalkınma Ajansı</v>
      </c>
    </row>
    <row r="308" customFormat="false" ht="15" hidden="false" customHeight="false" outlineLevel="0" collapsed="false">
      <c r="A308" s="4" t="s">
        <v>1496</v>
      </c>
      <c r="B308" s="13" t="n">
        <f aca="false">IFERROR(INDEX(İller!$C$5:$C$85,MATCH(A308,İller!$B$5:$B$85,0)),"")</f>
        <v>6</v>
      </c>
      <c r="C308" s="13" t="n">
        <v>4</v>
      </c>
      <c r="D308" s="5" t="s">
        <v>1704</v>
      </c>
      <c r="E308" s="13" t="s">
        <v>164</v>
      </c>
      <c r="F308" s="5" t="str">
        <f aca="false">IFERROR(INDEX(İller!$M$5:$M$85,MATCH(A308,İller!$B$5:$B$85,0)),"")</f>
        <v>Serhat Kalkınma Ajansı</v>
      </c>
    </row>
    <row r="309" customFormat="false" ht="15" hidden="false" customHeight="false" outlineLevel="0" collapsed="false">
      <c r="A309" s="4" t="s">
        <v>1501</v>
      </c>
      <c r="B309" s="13" t="n">
        <f aca="false">IFERROR(INDEX(İller!$C$5:$C$85,MATCH(A309,İller!$B$5:$B$85,0)),"")</f>
        <v>2</v>
      </c>
      <c r="C309" s="13" t="n">
        <v>1</v>
      </c>
      <c r="D309" s="5" t="s">
        <v>1711</v>
      </c>
      <c r="E309" s="13" t="s">
        <v>164</v>
      </c>
      <c r="F309" s="5" t="str">
        <f aca="false">IFERROR(INDEX(İller!$M$5:$M$85,MATCH(A309,İller!$B$5:$B$85,0)),"")</f>
        <v>Doğu Marmara Kalkınma Ajansı</v>
      </c>
    </row>
    <row r="310" customFormat="false" ht="15" hidden="false" customHeight="false" outlineLevel="0" collapsed="false">
      <c r="A310" s="4" t="s">
        <v>1501</v>
      </c>
      <c r="B310" s="13" t="n">
        <f aca="false">IFERROR(INDEX(İller!$C$5:$C$85,MATCH(A310,İller!$B$5:$B$85,0)),"")</f>
        <v>2</v>
      </c>
      <c r="C310" s="13" t="n">
        <v>2</v>
      </c>
      <c r="D310" s="5" t="s">
        <v>1561</v>
      </c>
      <c r="E310" s="13" t="s">
        <v>164</v>
      </c>
      <c r="F310" s="5" t="str">
        <f aca="false">IFERROR(INDEX(İller!$M$5:$M$85,MATCH(A310,İller!$B$5:$B$85,0)),"")</f>
        <v>Doğu Marmara Kalkınma Ajansı</v>
      </c>
    </row>
    <row r="311" customFormat="false" ht="15" hidden="false" customHeight="false" outlineLevel="0" collapsed="false">
      <c r="A311" s="4" t="s">
        <v>1501</v>
      </c>
      <c r="B311" s="13" t="n">
        <f aca="false">IFERROR(INDEX(İller!$C$5:$C$85,MATCH(A311,İller!$B$5:$B$85,0)),"")</f>
        <v>2</v>
      </c>
      <c r="C311" s="13" t="n">
        <v>3</v>
      </c>
      <c r="D311" s="5" t="s">
        <v>1712</v>
      </c>
      <c r="E311" s="13" t="s">
        <v>164</v>
      </c>
      <c r="F311" s="5" t="str">
        <f aca="false">IFERROR(INDEX(İller!$M$5:$M$85,MATCH(A311,İller!$B$5:$B$85,0)),"")</f>
        <v>Doğu Marmara Kalkınma Ajansı</v>
      </c>
    </row>
    <row r="312" customFormat="false" ht="15" hidden="false" customHeight="false" outlineLevel="0" collapsed="false">
      <c r="A312" s="4" t="s">
        <v>1501</v>
      </c>
      <c r="B312" s="13" t="n">
        <f aca="false">IFERROR(INDEX(İller!$C$5:$C$85,MATCH(A312,İller!$B$5:$B$85,0)),"")</f>
        <v>2</v>
      </c>
      <c r="C312" s="13" t="n">
        <v>4</v>
      </c>
      <c r="D312" s="5" t="s">
        <v>1713</v>
      </c>
      <c r="E312" s="13" t="s">
        <v>164</v>
      </c>
      <c r="F312" s="5" t="str">
        <f aca="false">IFERROR(INDEX(İller!$M$5:$M$85,MATCH(A312,İller!$B$5:$B$85,0)),"")</f>
        <v>Doğu Marmara Kalkınma Ajansı</v>
      </c>
    </row>
    <row r="313" customFormat="false" ht="15" hidden="false" customHeight="false" outlineLevel="0" collapsed="false">
      <c r="A313" s="4" t="s">
        <v>1504</v>
      </c>
      <c r="B313" s="13" t="n">
        <f aca="false">IFERROR(INDEX(İller!$C$5:$C$85,MATCH(A313,İller!$B$5:$B$85,0)),"")</f>
        <v>3</v>
      </c>
      <c r="C313" s="13" t="n">
        <v>1</v>
      </c>
      <c r="D313" s="5" t="s">
        <v>1673</v>
      </c>
      <c r="E313" s="13" t="s">
        <v>164</v>
      </c>
      <c r="F313" s="5" t="str">
        <f aca="false">IFERROR(INDEX(İller!$M$5:$M$85,MATCH(A313,İller!$B$5:$B$85,0)),"")</f>
        <v>Batı Karadeniz Kalkınma Ajansı</v>
      </c>
    </row>
    <row r="314" customFormat="false" ht="15" hidden="false" customHeight="false" outlineLevel="0" collapsed="false">
      <c r="A314" s="4" t="s">
        <v>1504</v>
      </c>
      <c r="B314" s="13" t="n">
        <f aca="false">IFERROR(INDEX(İller!$C$5:$C$85,MATCH(A314,İller!$B$5:$B$85,0)),"")</f>
        <v>3</v>
      </c>
      <c r="C314" s="13" t="n">
        <v>2</v>
      </c>
      <c r="D314" s="5" t="s">
        <v>1714</v>
      </c>
      <c r="E314" s="13" t="s">
        <v>164</v>
      </c>
      <c r="F314" s="5" t="str">
        <f aca="false">IFERROR(INDEX(İller!$M$5:$M$85,MATCH(A314,İller!$B$5:$B$85,0)),"")</f>
        <v>Batı Karadeniz Kalkınma Ajansı</v>
      </c>
    </row>
    <row r="315" customFormat="false" ht="15" hidden="false" customHeight="false" outlineLevel="0" collapsed="false">
      <c r="A315" s="4" t="s">
        <v>1504</v>
      </c>
      <c r="B315" s="13" t="n">
        <f aca="false">IFERROR(INDEX(İller!$C$5:$C$85,MATCH(A315,İller!$B$5:$B$85,0)),"")</f>
        <v>3</v>
      </c>
      <c r="C315" s="13" t="n">
        <v>3</v>
      </c>
      <c r="D315" s="5" t="s">
        <v>1715</v>
      </c>
      <c r="E315" s="13" t="s">
        <v>164</v>
      </c>
      <c r="F315" s="5" t="str">
        <f aca="false">IFERROR(INDEX(İller!$M$5:$M$85,MATCH(A315,İller!$B$5:$B$85,0)),"")</f>
        <v>Batı Karadeniz Kalkınma Ajansı</v>
      </c>
    </row>
    <row r="316" customFormat="false" ht="15" hidden="false" customHeight="false" outlineLevel="0" collapsed="false">
      <c r="A316" s="4" t="s">
        <v>1504</v>
      </c>
      <c r="B316" s="13" t="n">
        <f aca="false">IFERROR(INDEX(İller!$C$5:$C$85,MATCH(A316,İller!$B$5:$B$85,0)),"")</f>
        <v>3</v>
      </c>
      <c r="C316" s="13" t="n">
        <v>4</v>
      </c>
      <c r="D316" s="5" t="s">
        <v>1716</v>
      </c>
      <c r="E316" s="13" t="s">
        <v>164</v>
      </c>
      <c r="F316" s="5" t="str">
        <f aca="false">IFERROR(INDEX(İller!$M$5:$M$85,MATCH(A316,İller!$B$5:$B$85,0)),"")</f>
        <v>Batı Karadeniz Kalkınma Ajansı</v>
      </c>
    </row>
    <row r="317" customFormat="false" ht="15" hidden="false" customHeight="false" outlineLevel="0" collapsed="false">
      <c r="A317" s="4" t="s">
        <v>1509</v>
      </c>
      <c r="B317" s="13" t="n">
        <f aca="false">IFERROR(INDEX(İller!$C$5:$C$85,MATCH(A317,İller!$B$5:$B$85,0)),"")</f>
        <v>5</v>
      </c>
      <c r="C317" s="13" t="n">
        <v>1</v>
      </c>
      <c r="D317" s="5" t="s">
        <v>1535</v>
      </c>
      <c r="E317" s="13" t="s">
        <v>164</v>
      </c>
      <c r="F317" s="5" t="str">
        <f aca="false">IFERROR(INDEX(İller!$M$5:$M$85,MATCH(A317,İller!$B$5:$B$85,0)),"")</f>
        <v>İpek Yolu Kalkınma Ajansı</v>
      </c>
    </row>
    <row r="318" customFormat="false" ht="15" hidden="false" customHeight="false" outlineLevel="0" collapsed="false">
      <c r="A318" s="4" t="s">
        <v>1509</v>
      </c>
      <c r="B318" s="13" t="n">
        <f aca="false">IFERROR(INDEX(İller!$C$5:$C$85,MATCH(A318,İller!$B$5:$B$85,0)),"")</f>
        <v>5</v>
      </c>
      <c r="C318" s="13" t="n">
        <v>2</v>
      </c>
      <c r="D318" s="5" t="s">
        <v>1537</v>
      </c>
      <c r="E318" s="13" t="s">
        <v>164</v>
      </c>
      <c r="F318" s="5" t="str">
        <f aca="false">IFERROR(INDEX(İller!$M$5:$M$85,MATCH(A318,İller!$B$5:$B$85,0)),"")</f>
        <v>İpek Yolu Kalkınma Ajansı</v>
      </c>
    </row>
    <row r="319" customFormat="false" ht="15" hidden="false" customHeight="false" outlineLevel="0" collapsed="false">
      <c r="A319" s="4" t="s">
        <v>1509</v>
      </c>
      <c r="B319" s="13" t="n">
        <f aca="false">IFERROR(INDEX(İller!$C$5:$C$85,MATCH(A319,İller!$B$5:$B$85,0)),"")</f>
        <v>5</v>
      </c>
      <c r="C319" s="13" t="n">
        <v>3</v>
      </c>
      <c r="D319" s="5" t="s">
        <v>1717</v>
      </c>
      <c r="E319" s="13" t="s">
        <v>164</v>
      </c>
      <c r="F319" s="5" t="str">
        <f aca="false">IFERROR(INDEX(İller!$M$5:$M$85,MATCH(A319,İller!$B$5:$B$85,0)),"")</f>
        <v>İpek Yolu Kalkınma Ajansı</v>
      </c>
    </row>
    <row r="320" customFormat="false" ht="15" hidden="false" customHeight="false" outlineLevel="0" collapsed="false">
      <c r="A320" s="4" t="s">
        <v>1509</v>
      </c>
      <c r="B320" s="13" t="n">
        <f aca="false">IFERROR(INDEX(İller!$C$5:$C$85,MATCH(A320,İller!$B$5:$B$85,0)),"")</f>
        <v>5</v>
      </c>
      <c r="C320" s="13" t="n">
        <v>4</v>
      </c>
      <c r="D320" s="5" t="s">
        <v>1576</v>
      </c>
      <c r="E320" s="13" t="s">
        <v>164</v>
      </c>
      <c r="F320" s="5" t="str">
        <f aca="false">IFERROR(INDEX(İller!$M$5:$M$85,MATCH(A320,İller!$B$5:$B$85,0)),"")</f>
        <v>İpek Yolu Kalkınma Ajansı</v>
      </c>
    </row>
    <row r="321" customFormat="false" ht="15" hidden="false" customHeight="false" outlineLevel="0" collapsed="false">
      <c r="A321" s="4" t="s">
        <v>1514</v>
      </c>
      <c r="B321" s="13" t="n">
        <f aca="false">IFERROR(INDEX(İller!$C$5:$C$85,MATCH(A321,İller!$B$5:$B$85,0)),"")</f>
        <v>5</v>
      </c>
      <c r="C321" s="13" t="n">
        <v>1</v>
      </c>
      <c r="D321" s="5" t="s">
        <v>1705</v>
      </c>
      <c r="E321" s="13" t="s">
        <v>164</v>
      </c>
      <c r="F321" s="5" t="str">
        <f aca="false">IFERROR(INDEX(İller!$M$5:$M$85,MATCH(A321,İller!$B$5:$B$85,0)),"")</f>
        <v>Doğu Akdeniz Kalkınma Ajansı</v>
      </c>
    </row>
    <row r="322" customFormat="false" ht="15" hidden="false" customHeight="false" outlineLevel="0" collapsed="false">
      <c r="A322" s="4" t="s">
        <v>1514</v>
      </c>
      <c r="B322" s="13" t="n">
        <f aca="false">IFERROR(INDEX(İller!$C$5:$C$85,MATCH(A322,İller!$B$5:$B$85,0)),"")</f>
        <v>5</v>
      </c>
      <c r="C322" s="13" t="n">
        <v>2</v>
      </c>
      <c r="D322" s="5" t="s">
        <v>1718</v>
      </c>
      <c r="E322" s="13" t="s">
        <v>164</v>
      </c>
      <c r="F322" s="5" t="str">
        <f aca="false">IFERROR(INDEX(İller!$M$5:$M$85,MATCH(A322,İller!$B$5:$B$85,0)),"")</f>
        <v>Doğu Akdeniz Kalkınma Ajansı</v>
      </c>
    </row>
    <row r="323" customFormat="false" ht="15" hidden="false" customHeight="false" outlineLevel="0" collapsed="false">
      <c r="A323" s="4" t="s">
        <v>1514</v>
      </c>
      <c r="B323" s="13" t="n">
        <f aca="false">IFERROR(INDEX(İller!$C$5:$C$85,MATCH(A323,İller!$B$5:$B$85,0)),"")</f>
        <v>5</v>
      </c>
      <c r="C323" s="13" t="n">
        <v>3</v>
      </c>
      <c r="D323" s="5" t="s">
        <v>1719</v>
      </c>
      <c r="E323" s="13" t="s">
        <v>164</v>
      </c>
      <c r="F323" s="5" t="str">
        <f aca="false">IFERROR(INDEX(İller!$M$5:$M$85,MATCH(A323,İller!$B$5:$B$85,0)),"")</f>
        <v>Doğu Akdeniz Kalkınma Ajansı</v>
      </c>
    </row>
    <row r="324" customFormat="false" ht="15" hidden="false" customHeight="false" outlineLevel="0" collapsed="false">
      <c r="A324" s="4" t="s">
        <v>1514</v>
      </c>
      <c r="B324" s="13" t="n">
        <f aca="false">IFERROR(INDEX(İller!$C$5:$C$85,MATCH(A324,İller!$B$5:$B$85,0)),"")</f>
        <v>5</v>
      </c>
      <c r="C324" s="13" t="n">
        <v>4</v>
      </c>
      <c r="D324" s="5" t="s">
        <v>1518</v>
      </c>
      <c r="E324" s="13" t="s">
        <v>1006</v>
      </c>
      <c r="F324" s="5" t="str">
        <f aca="false">IFERROR(INDEX(İller!$M$5:$M$85,MATCH(A324,İller!$B$5:$B$85,0)),"")</f>
        <v>Doğu Akdeniz Kalkınma Ajansı</v>
      </c>
    </row>
    <row r="325" customFormat="false" ht="15" hidden="false" customHeight="false" outlineLevel="0" collapsed="false">
      <c r="A325" s="4" t="s">
        <v>1522</v>
      </c>
      <c r="B325" s="13" t="n">
        <f aca="false">IFERROR(INDEX(İller!$C$5:$C$85,MATCH(A325,İller!$B$5:$B$85,0)),"")</f>
        <v>3</v>
      </c>
      <c r="C325" s="13" t="n">
        <v>1</v>
      </c>
      <c r="D325" s="5" t="s">
        <v>1593</v>
      </c>
      <c r="E325" s="13" t="s">
        <v>164</v>
      </c>
      <c r="F325" s="5" t="str">
        <f aca="false">IFERROR(INDEX(İller!$M$5:$M$85,MATCH(A325,İller!$B$5:$B$85,0)),"")</f>
        <v>Doğu Marmara Kalkınma Ajansı</v>
      </c>
    </row>
    <row r="326" customFormat="false" ht="15" hidden="false" customHeight="false" outlineLevel="0" collapsed="false">
      <c r="A326" s="4" t="s">
        <v>1522</v>
      </c>
      <c r="B326" s="13" t="n">
        <f aca="false">IFERROR(INDEX(İller!$C$5:$C$85,MATCH(A326,İller!$B$5:$B$85,0)),"")</f>
        <v>3</v>
      </c>
      <c r="C326" s="13" t="n">
        <v>2</v>
      </c>
      <c r="D326" s="5" t="s">
        <v>1720</v>
      </c>
      <c r="E326" s="13" t="s">
        <v>164</v>
      </c>
      <c r="F326" s="5" t="str">
        <f aca="false">IFERROR(INDEX(İller!$M$5:$M$85,MATCH(A326,İller!$B$5:$B$85,0)),"")</f>
        <v>Doğu Marmara Kalkınma Ajansı</v>
      </c>
    </row>
    <row r="327" customFormat="false" ht="15" hidden="false" customHeight="false" outlineLevel="0" collapsed="false">
      <c r="A327" s="4" t="s">
        <v>1522</v>
      </c>
      <c r="B327" s="13" t="n">
        <f aca="false">IFERROR(INDEX(İller!$C$5:$C$85,MATCH(A327,İller!$B$5:$B$85,0)),"")</f>
        <v>3</v>
      </c>
      <c r="C327" s="13" t="n">
        <v>3</v>
      </c>
      <c r="D327" s="5" t="s">
        <v>1525</v>
      </c>
      <c r="E327" s="13" t="s">
        <v>1006</v>
      </c>
      <c r="F327" s="5" t="str">
        <f aca="false">IFERROR(INDEX(İller!$M$5:$M$85,MATCH(A327,İller!$B$5:$B$85,0)),"")</f>
        <v>Doğu Marmara Kalkınma Ajansı</v>
      </c>
    </row>
    <row r="328" customFormat="false" ht="15" hidden="false" customHeight="false" outlineLevel="0" collapsed="false">
      <c r="A328" s="4" t="s">
        <v>1522</v>
      </c>
      <c r="B328" s="13" t="n">
        <f aca="false">IFERROR(INDEX(İller!$C$5:$C$85,MATCH(A328,İller!$B$5:$B$85,0)),"")</f>
        <v>3</v>
      </c>
      <c r="C328" s="13" t="n">
        <v>4</v>
      </c>
      <c r="D328" s="5" t="s">
        <v>1721</v>
      </c>
      <c r="E328" s="13" t="s">
        <v>164</v>
      </c>
      <c r="F328" s="5" t="str">
        <f aca="false">IFERROR(INDEX(İller!$M$5:$M$85,MATCH(A328,İller!$B$5:$B$85,0)),"")</f>
        <v>Doğu Marmara Kalkınma Ajansı</v>
      </c>
    </row>
  </sheetData>
  <autoFilter ref="A4:F328"/>
  <conditionalFormatting sqref="E5:E328">
    <cfRule type="cellIs" priority="2" operator="equal" aboveAverage="0" equalAverage="0" bottom="0" percent="0" rank="0" text="" dxfId="31">
      <formula>"Evet"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4"/>
    <col collapsed="false" customWidth="true" hidden="false" outlineLevel="0" max="4" min="4" style="0" width="64"/>
    <col collapsed="false" customWidth="true" hidden="false" outlineLevel="0" max="5" min="5" style="0" width="3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1722</v>
      </c>
    </row>
    <row r="2" customFormat="false" ht="15" hidden="false" customHeight="false" outlineLevel="0" collapsed="false">
      <c r="A2" s="2" t="s">
        <v>1723</v>
      </c>
    </row>
    <row r="4" customFormat="false" ht="30" hidden="false" customHeight="true" outlineLevel="0" collapsed="false">
      <c r="A4" s="3" t="s">
        <v>1724</v>
      </c>
      <c r="B4" s="3" t="s">
        <v>1725</v>
      </c>
      <c r="C4" s="3" t="s">
        <v>1726</v>
      </c>
      <c r="D4" s="3" t="s">
        <v>3</v>
      </c>
      <c r="E4" s="3" t="s">
        <v>64</v>
      </c>
      <c r="F4" s="3" t="s">
        <v>18</v>
      </c>
    </row>
    <row r="5" customFormat="false" ht="15" hidden="false" customHeight="false" outlineLevel="0" collapsed="false">
      <c r="A5" s="4" t="s">
        <v>1727</v>
      </c>
      <c r="B5" s="4" t="s">
        <v>816</v>
      </c>
      <c r="C5" s="19" t="s">
        <v>1001</v>
      </c>
      <c r="D5" s="5" t="s">
        <v>1728</v>
      </c>
      <c r="E5" s="5" t="s">
        <v>1729</v>
      </c>
      <c r="F5" s="7" t="s">
        <v>20</v>
      </c>
    </row>
    <row r="6" customFormat="false" ht="15" hidden="false" customHeight="false" outlineLevel="0" collapsed="false">
      <c r="A6" s="4" t="s">
        <v>1727</v>
      </c>
      <c r="B6" s="4" t="s">
        <v>1730</v>
      </c>
      <c r="C6" s="19" t="s">
        <v>1001</v>
      </c>
      <c r="D6" s="5" t="s">
        <v>1731</v>
      </c>
      <c r="E6" s="5" t="s">
        <v>1732</v>
      </c>
      <c r="F6" s="7" t="s">
        <v>20</v>
      </c>
    </row>
    <row r="7" customFormat="false" ht="15" hidden="false" customHeight="false" outlineLevel="0" collapsed="false">
      <c r="A7" s="4" t="s">
        <v>1727</v>
      </c>
      <c r="B7" s="4" t="s">
        <v>368</v>
      </c>
      <c r="C7" s="19" t="s">
        <v>1001</v>
      </c>
      <c r="D7" s="5" t="s">
        <v>1733</v>
      </c>
      <c r="E7" s="5" t="s">
        <v>1734</v>
      </c>
      <c r="F7" s="7" t="s">
        <v>20</v>
      </c>
    </row>
    <row r="8" customFormat="false" ht="15" hidden="false" customHeight="false" outlineLevel="0" collapsed="false">
      <c r="A8" s="4" t="s">
        <v>1735</v>
      </c>
      <c r="B8" s="4" t="s">
        <v>1736</v>
      </c>
      <c r="C8" s="19" t="s">
        <v>1006</v>
      </c>
      <c r="D8" s="5" t="s">
        <v>1737</v>
      </c>
      <c r="E8" s="5" t="s">
        <v>1738</v>
      </c>
      <c r="F8" s="7" t="s">
        <v>20</v>
      </c>
    </row>
    <row r="9" customFormat="false" ht="23.85" hidden="false" customHeight="false" outlineLevel="0" collapsed="false">
      <c r="A9" s="4" t="s">
        <v>1727</v>
      </c>
      <c r="B9" s="4" t="s">
        <v>1739</v>
      </c>
      <c r="C9" s="19" t="s">
        <v>1740</v>
      </c>
      <c r="D9" s="5" t="s">
        <v>1741</v>
      </c>
      <c r="E9" s="5" t="s">
        <v>1742</v>
      </c>
      <c r="F9" s="7" t="s">
        <v>20</v>
      </c>
    </row>
    <row r="10" customFormat="false" ht="15" hidden="false" customHeight="false" outlineLevel="0" collapsed="false">
      <c r="A10" s="4" t="s">
        <v>1727</v>
      </c>
      <c r="B10" s="4" t="s">
        <v>1743</v>
      </c>
      <c r="C10" s="19" t="s">
        <v>1001</v>
      </c>
      <c r="D10" s="5" t="s">
        <v>1744</v>
      </c>
      <c r="E10" s="5" t="s">
        <v>1742</v>
      </c>
      <c r="F10" s="12" t="s">
        <v>492</v>
      </c>
    </row>
    <row r="11" customFormat="false" ht="23.85" hidden="false" customHeight="false" outlineLevel="0" collapsed="false">
      <c r="A11" s="4" t="s">
        <v>1727</v>
      </c>
      <c r="B11" s="4" t="s">
        <v>821</v>
      </c>
      <c r="C11" s="19" t="s">
        <v>1745</v>
      </c>
      <c r="D11" s="5" t="s">
        <v>1746</v>
      </c>
      <c r="E11" s="5" t="s">
        <v>1742</v>
      </c>
      <c r="F11" s="12" t="s">
        <v>30</v>
      </c>
    </row>
    <row r="12" customFormat="false" ht="15" hidden="false" customHeight="false" outlineLevel="0" collapsed="false">
      <c r="A12" s="4" t="s">
        <v>1727</v>
      </c>
      <c r="B12" s="4" t="s">
        <v>818</v>
      </c>
      <c r="C12" s="19" t="s">
        <v>1745</v>
      </c>
      <c r="D12" s="5" t="s">
        <v>1747</v>
      </c>
      <c r="E12" s="5" t="s">
        <v>164</v>
      </c>
      <c r="F12" s="12" t="s">
        <v>30</v>
      </c>
    </row>
    <row r="13" customFormat="false" ht="15" hidden="false" customHeight="false" outlineLevel="0" collapsed="false">
      <c r="A13" s="4" t="s">
        <v>816</v>
      </c>
      <c r="B13" s="4" t="s">
        <v>1730</v>
      </c>
      <c r="C13" s="19" t="s">
        <v>1001</v>
      </c>
      <c r="D13" s="5" t="s">
        <v>1748</v>
      </c>
      <c r="E13" s="5" t="s">
        <v>1749</v>
      </c>
      <c r="F13" s="7" t="s">
        <v>20</v>
      </c>
    </row>
    <row r="14" customFormat="false" ht="15" hidden="false" customHeight="false" outlineLevel="0" collapsed="false">
      <c r="A14" s="4" t="s">
        <v>816</v>
      </c>
      <c r="B14" s="4" t="s">
        <v>368</v>
      </c>
      <c r="C14" s="19" t="s">
        <v>1001</v>
      </c>
      <c r="D14" s="5" t="s">
        <v>1750</v>
      </c>
      <c r="E14" s="5" t="s">
        <v>675</v>
      </c>
      <c r="F14" s="7" t="s">
        <v>20</v>
      </c>
    </row>
    <row r="15" customFormat="false" ht="15" hidden="false" customHeight="false" outlineLevel="0" collapsed="false">
      <c r="A15" s="4" t="s">
        <v>816</v>
      </c>
      <c r="B15" s="4" t="s">
        <v>818</v>
      </c>
      <c r="C15" s="19" t="s">
        <v>1006</v>
      </c>
      <c r="D15" s="5" t="s">
        <v>1751</v>
      </c>
      <c r="E15" s="5" t="s">
        <v>1752</v>
      </c>
      <c r="F15" s="8" t="s">
        <v>22</v>
      </c>
    </row>
    <row r="16" customFormat="false" ht="15" hidden="false" customHeight="false" outlineLevel="0" collapsed="false">
      <c r="A16" s="4" t="s">
        <v>1753</v>
      </c>
      <c r="B16" s="4" t="s">
        <v>1754</v>
      </c>
      <c r="C16" s="19" t="s">
        <v>1006</v>
      </c>
      <c r="D16" s="5" t="s">
        <v>1755</v>
      </c>
      <c r="E16" s="5" t="s">
        <v>1756</v>
      </c>
      <c r="F16" s="7" t="s">
        <v>20</v>
      </c>
    </row>
    <row r="17" customFormat="false" ht="15" hidden="false" customHeight="false" outlineLevel="0" collapsed="false">
      <c r="A17" s="4" t="s">
        <v>1753</v>
      </c>
      <c r="B17" s="4" t="s">
        <v>821</v>
      </c>
      <c r="C17" s="19" t="s">
        <v>1006</v>
      </c>
      <c r="D17" s="5" t="s">
        <v>1757</v>
      </c>
      <c r="E17" s="5" t="s">
        <v>1758</v>
      </c>
      <c r="F17" s="7" t="s">
        <v>20</v>
      </c>
    </row>
    <row r="18" customFormat="false" ht="15" hidden="false" customHeight="false" outlineLevel="0" collapsed="false">
      <c r="A18" s="4" t="s">
        <v>1759</v>
      </c>
      <c r="B18" s="4" t="s">
        <v>821</v>
      </c>
      <c r="C18" s="19" t="s">
        <v>1001</v>
      </c>
      <c r="D18" s="5" t="s">
        <v>1760</v>
      </c>
      <c r="E18" s="5" t="s">
        <v>1761</v>
      </c>
      <c r="F18" s="7" t="s">
        <v>20</v>
      </c>
    </row>
    <row r="19" customFormat="false" ht="15" hidden="false" customHeight="false" outlineLevel="0" collapsed="false">
      <c r="A19" s="4" t="s">
        <v>368</v>
      </c>
      <c r="B19" s="4" t="s">
        <v>819</v>
      </c>
      <c r="C19" s="19" t="s">
        <v>1745</v>
      </c>
      <c r="D19" s="5" t="s">
        <v>1762</v>
      </c>
      <c r="E19" s="5" t="s">
        <v>164</v>
      </c>
      <c r="F19" s="12" t="s">
        <v>30</v>
      </c>
    </row>
    <row r="20" customFormat="false" ht="15" hidden="false" customHeight="false" outlineLevel="0" collapsed="false">
      <c r="A20" s="4" t="s">
        <v>820</v>
      </c>
      <c r="B20" s="4" t="s">
        <v>1763</v>
      </c>
      <c r="C20" s="19" t="s">
        <v>1745</v>
      </c>
      <c r="D20" s="5" t="s">
        <v>1764</v>
      </c>
      <c r="E20" s="5" t="s">
        <v>1765</v>
      </c>
      <c r="F20" s="12" t="s">
        <v>30</v>
      </c>
    </row>
  </sheetData>
  <autoFilter ref="A4:F20"/>
  <conditionalFormatting sqref="C5:C20">
    <cfRule type="cellIs" priority="2" operator="equal" aboveAverage="0" equalAverage="0" bottom="0" percent="0" rank="0" text="" dxfId="14">
      <formula>"Hayır"</formula>
    </cfRule>
    <cfRule type="cellIs" priority="3" operator="equal" aboveAverage="0" equalAverage="0" bottom="0" percent="0" rank="0" text="" dxfId="22">
      <formula>"Evet"</formula>
    </cfRule>
    <cfRule type="cellIs" priority="4" operator="equal" aboveAverage="0" equalAverage="0" bottom="0" percent="0" rank="0" text="" dxfId="15">
      <formula>"Koşullu"</formula>
    </cfRule>
    <cfRule type="cellIs" priority="5" operator="equal" aboveAverage="0" equalAverage="0" bottom="0" percent="0" rank="0" text="" dxfId="32">
      <formula>"Belirsiz"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1766</v>
      </c>
    </row>
    <row r="2" customFormat="false" ht="15" hidden="false" customHeight="false" outlineLevel="0" collapsed="false">
      <c r="A2" s="2" t="s">
        <v>1767</v>
      </c>
    </row>
    <row r="3" customFormat="false" ht="15" hidden="false" customHeight="false" outlineLevel="0" collapsed="false">
      <c r="D3" s="24" t="s">
        <v>1768</v>
      </c>
      <c r="E3" s="25" t="n">
        <v>0.2549</v>
      </c>
      <c r="F3" s="2" t="s">
        <v>1769</v>
      </c>
    </row>
    <row r="4" customFormat="false" ht="30" hidden="false" customHeight="true" outlineLevel="0" collapsed="false">
      <c r="A4" s="3" t="s">
        <v>1770</v>
      </c>
      <c r="B4" s="3" t="s">
        <v>64</v>
      </c>
      <c r="C4" s="3" t="s">
        <v>1771</v>
      </c>
      <c r="D4" s="3" t="s">
        <v>1772</v>
      </c>
      <c r="E4" s="3" t="s">
        <v>1773</v>
      </c>
      <c r="F4" s="3" t="s">
        <v>1774</v>
      </c>
      <c r="G4" s="3" t="s">
        <v>1775</v>
      </c>
      <c r="H4" s="3" t="s">
        <v>18</v>
      </c>
      <c r="I4" s="3" t="s">
        <v>65</v>
      </c>
      <c r="J4" s="3" t="s">
        <v>66</v>
      </c>
    </row>
    <row r="5" customFormat="false" ht="23.85" hidden="false" customHeight="false" outlineLevel="0" collapsed="false">
      <c r="A5" s="26" t="s">
        <v>1776</v>
      </c>
    </row>
    <row r="7" customFormat="false" ht="15" hidden="false" customHeight="false" outlineLevel="0" collapsed="false">
      <c r="A7" s="4" t="s">
        <v>1777</v>
      </c>
      <c r="B7" s="5" t="s">
        <v>455</v>
      </c>
      <c r="C7" s="20" t="n">
        <v>12000000</v>
      </c>
      <c r="D7" s="20" t="n">
        <v>15100000</v>
      </c>
      <c r="E7" s="20" t="n">
        <f aca="false">IF(C7="","",ROUND(C7*(1+$E$3),0))</f>
        <v>15058800</v>
      </c>
      <c r="F7" s="27" t="n">
        <f aca="false">IF(AND(ISNUMBER(D7),ISNUMBER(E7)),D7/E7-1,"")</f>
        <v>0.0027359417749091</v>
      </c>
      <c r="G7" s="28" t="n">
        <f aca="false">IF(ISNUMBER(D7),D7,E7)</f>
        <v>15100000</v>
      </c>
      <c r="H7" s="10" t="s">
        <v>257</v>
      </c>
      <c r="I7" s="5" t="s">
        <v>258</v>
      </c>
      <c r="J7" s="5"/>
    </row>
    <row r="8" customFormat="false" ht="15" hidden="false" customHeight="false" outlineLevel="0" collapsed="false">
      <c r="A8" s="4" t="s">
        <v>1778</v>
      </c>
      <c r="B8" s="5" t="s">
        <v>455</v>
      </c>
      <c r="C8" s="20" t="n">
        <v>6000000</v>
      </c>
      <c r="D8" s="20" t="n">
        <v>7500000</v>
      </c>
      <c r="E8" s="20" t="n">
        <f aca="false">IF(C8="","",ROUND(C8*(1+$E$3),0))</f>
        <v>7529400</v>
      </c>
      <c r="F8" s="27" t="n">
        <f aca="false">IF(AND(ISNUMBER(D8),ISNUMBER(E8)),D8/E8-1,"")</f>
        <v>-0.0039046936010837</v>
      </c>
      <c r="G8" s="28" t="n">
        <f aca="false">IF(ISNUMBER(D8),D8,E8)</f>
        <v>7500000</v>
      </c>
      <c r="H8" s="10" t="s">
        <v>257</v>
      </c>
      <c r="I8" s="5" t="s">
        <v>258</v>
      </c>
      <c r="J8" s="5"/>
    </row>
    <row r="9" customFormat="false" ht="15" hidden="false" customHeight="false" outlineLevel="0" collapsed="false">
      <c r="A9" s="4" t="s">
        <v>1779</v>
      </c>
      <c r="B9" s="5" t="s">
        <v>585</v>
      </c>
      <c r="C9" s="20" t="n">
        <v>3000000</v>
      </c>
      <c r="D9" s="20" t="n">
        <v>3800000</v>
      </c>
      <c r="E9" s="20" t="n">
        <f aca="false">IF(C9="","",ROUND(C9*(1+$E$3),0))</f>
        <v>3764700</v>
      </c>
      <c r="F9" s="27" t="n">
        <f aca="false">IF(AND(ISNUMBER(D9),ISNUMBER(E9)),D9/E9-1,"")</f>
        <v>0.00937657715090179</v>
      </c>
      <c r="G9" s="28" t="n">
        <f aca="false">IF(ISNUMBER(D9),D9,E9)</f>
        <v>3800000</v>
      </c>
      <c r="H9" s="10" t="s">
        <v>257</v>
      </c>
      <c r="I9" s="5" t="s">
        <v>258</v>
      </c>
      <c r="J9" s="5"/>
    </row>
    <row r="10" customFormat="false" ht="15" hidden="false" customHeight="false" outlineLevel="0" collapsed="false">
      <c r="A10" s="4" t="s">
        <v>1780</v>
      </c>
      <c r="B10" s="5" t="s">
        <v>545</v>
      </c>
      <c r="C10" s="20" t="n">
        <v>100000000</v>
      </c>
      <c r="D10" s="20" t="n">
        <v>125000000</v>
      </c>
      <c r="E10" s="20" t="n">
        <f aca="false">IF(C10="","",ROUND(C10*(1+$E$3),0))</f>
        <v>125490000</v>
      </c>
      <c r="F10" s="27" t="n">
        <f aca="false">IF(AND(ISNUMBER(D10),ISNUMBER(E10)),D10/E10-1,"")</f>
        <v>-0.0039046936010837</v>
      </c>
      <c r="G10" s="28" t="n">
        <f aca="false">IF(ISNUMBER(D10),D10,E10)</f>
        <v>125000000</v>
      </c>
      <c r="H10" s="10" t="s">
        <v>257</v>
      </c>
      <c r="I10" s="5" t="s">
        <v>258</v>
      </c>
      <c r="J10" s="5"/>
    </row>
    <row r="11" customFormat="false" ht="15" hidden="false" customHeight="false" outlineLevel="0" collapsed="false">
      <c r="A11" s="4" t="s">
        <v>1781</v>
      </c>
      <c r="B11" s="5" t="s">
        <v>545</v>
      </c>
      <c r="C11" s="20" t="n">
        <v>200000000</v>
      </c>
      <c r="D11" s="20"/>
      <c r="E11" s="20" t="n">
        <f aca="false">IF(C11="","",ROUND(C11*(1+$E$3),0))</f>
        <v>250980000</v>
      </c>
      <c r="F11" s="27" t="str">
        <f aca="false">IF(AND(ISNUMBER(D11),ISNUMBER(E11)),D11/E11-1,"")</f>
        <v/>
      </c>
      <c r="G11" s="28" t="n">
        <f aca="false">IF(ISNUMBER(D11),D11,E11)</f>
        <v>250980000</v>
      </c>
      <c r="H11" s="9" t="s">
        <v>288</v>
      </c>
      <c r="I11" s="5" t="s">
        <v>77</v>
      </c>
      <c r="J11" s="5" t="s">
        <v>1782</v>
      </c>
    </row>
    <row r="12" customFormat="false" ht="15" hidden="false" customHeight="false" outlineLevel="0" collapsed="false">
      <c r="A12" s="4" t="s">
        <v>1783</v>
      </c>
      <c r="B12" s="5" t="s">
        <v>328</v>
      </c>
      <c r="C12" s="20" t="n">
        <v>50000000</v>
      </c>
      <c r="D12" s="20" t="n">
        <v>62700000</v>
      </c>
      <c r="E12" s="20" t="n">
        <f aca="false">IF(C12="","",ROUND(C12*(1+$E$3),0))</f>
        <v>62745000</v>
      </c>
      <c r="F12" s="27" t="n">
        <f aca="false">IF(AND(ISNUMBER(D12),ISNUMBER(E12)),D12/E12-1,"")</f>
        <v>-0.000717188620607212</v>
      </c>
      <c r="G12" s="28" t="n">
        <f aca="false">IF(ISNUMBER(D12),D12,E12)</f>
        <v>62700000</v>
      </c>
      <c r="H12" s="10" t="s">
        <v>257</v>
      </c>
      <c r="I12" s="5" t="s">
        <v>258</v>
      </c>
      <c r="J12" s="5"/>
    </row>
    <row r="13" customFormat="false" ht="15" hidden="false" customHeight="false" outlineLevel="0" collapsed="false">
      <c r="A13" s="4" t="s">
        <v>1784</v>
      </c>
      <c r="B13" s="5" t="s">
        <v>1785</v>
      </c>
      <c r="C13" s="20" t="n">
        <v>500000000</v>
      </c>
      <c r="D13" s="20" t="n">
        <v>627000000</v>
      </c>
      <c r="E13" s="20" t="n">
        <f aca="false">IF(C13="","",ROUND(C13*(1+$E$3),0))</f>
        <v>627450000</v>
      </c>
      <c r="F13" s="27" t="n">
        <f aca="false">IF(AND(ISNUMBER(D13),ISNUMBER(E13)),D13/E13-1,"")</f>
        <v>-0.000717188620607212</v>
      </c>
      <c r="G13" s="28" t="n">
        <f aca="false">IF(ISNUMBER(D13),D13,E13)</f>
        <v>627000000</v>
      </c>
      <c r="H13" s="10" t="s">
        <v>257</v>
      </c>
      <c r="I13" s="5" t="s">
        <v>258</v>
      </c>
      <c r="J13" s="5"/>
    </row>
    <row r="14" customFormat="false" ht="15" hidden="false" customHeight="false" outlineLevel="0" collapsed="false">
      <c r="A14" s="4" t="s">
        <v>1786</v>
      </c>
      <c r="B14" s="5" t="s">
        <v>1787</v>
      </c>
      <c r="C14" s="20" t="n">
        <v>1000000000</v>
      </c>
      <c r="D14" s="20" t="n">
        <v>1255000000</v>
      </c>
      <c r="E14" s="20" t="n">
        <f aca="false">IF(C14="","",ROUND(C14*(1+$E$3),0))</f>
        <v>1254900000</v>
      </c>
      <c r="F14" s="27" t="n">
        <f aca="false">IF(AND(ISNUMBER(D14),ISNUMBER(E14)),D14/E14-1,"")</f>
        <v>7.96876245119371E-005</v>
      </c>
      <c r="G14" s="28" t="n">
        <f aca="false">IF(ISNUMBER(D14),D14,E14)</f>
        <v>1255000000</v>
      </c>
      <c r="H14" s="10" t="s">
        <v>257</v>
      </c>
      <c r="I14" s="5" t="s">
        <v>258</v>
      </c>
      <c r="J14" s="5"/>
    </row>
    <row r="15" customFormat="false" ht="15" hidden="false" customHeight="false" outlineLevel="0" collapsed="false">
      <c r="A15" s="4" t="s">
        <v>1788</v>
      </c>
      <c r="B15" s="5" t="s">
        <v>524</v>
      </c>
      <c r="C15" s="20" t="n">
        <v>500000000</v>
      </c>
      <c r="D15" s="20"/>
      <c r="E15" s="20" t="n">
        <f aca="false">IF(C15="","",ROUND(C15*(1+$E$3),0))</f>
        <v>627450000</v>
      </c>
      <c r="F15" s="27" t="str">
        <f aca="false">IF(AND(ISNUMBER(D15),ISNUMBER(E15)),D15/E15-1,"")</f>
        <v/>
      </c>
      <c r="G15" s="28" t="n">
        <f aca="false">IF(ISNUMBER(D15),D15,E15)</f>
        <v>627450000</v>
      </c>
      <c r="H15" s="9" t="s">
        <v>288</v>
      </c>
      <c r="I15" s="5" t="s">
        <v>77</v>
      </c>
      <c r="J15" s="5"/>
    </row>
    <row r="16" customFormat="false" ht="15" hidden="false" customHeight="false" outlineLevel="0" collapsed="false">
      <c r="A16" s="4" t="s">
        <v>1789</v>
      </c>
      <c r="B16" s="5" t="s">
        <v>1790</v>
      </c>
      <c r="C16" s="20" t="n">
        <v>240000000</v>
      </c>
      <c r="D16" s="20" t="n">
        <v>301000000</v>
      </c>
      <c r="E16" s="20" t="n">
        <f aca="false">IF(C16="","",ROUND(C16*(1+$E$3),0))</f>
        <v>301176000</v>
      </c>
      <c r="F16" s="27" t="n">
        <f aca="false">IF(AND(ISNUMBER(D16),ISNUMBER(E16)),D16/E16-1,"")</f>
        <v>-0.000584375913087354</v>
      </c>
      <c r="G16" s="28" t="n">
        <f aca="false">IF(ISNUMBER(D16),D16,E16)</f>
        <v>301000000</v>
      </c>
      <c r="H16" s="10" t="s">
        <v>257</v>
      </c>
      <c r="I16" s="5" t="s">
        <v>258</v>
      </c>
      <c r="J16" s="5"/>
    </row>
    <row r="17" customFormat="false" ht="15" hidden="false" customHeight="false" outlineLevel="0" collapsed="false">
      <c r="A17" s="4" t="s">
        <v>1791</v>
      </c>
      <c r="B17" s="5" t="s">
        <v>1792</v>
      </c>
      <c r="C17" s="20" t="n">
        <v>180000000</v>
      </c>
      <c r="D17" s="20" t="n">
        <v>226000000</v>
      </c>
      <c r="E17" s="20" t="n">
        <f aca="false">IF(C17="","",ROUND(C17*(1+$E$3),0))</f>
        <v>225882000</v>
      </c>
      <c r="F17" s="27" t="n">
        <f aca="false">IF(AND(ISNUMBER(D17),ISNUMBER(E17)),D17/E17-1,"")</f>
        <v>0.000522396649578205</v>
      </c>
      <c r="G17" s="28" t="n">
        <f aca="false">IF(ISNUMBER(D17),D17,E17)</f>
        <v>226000000</v>
      </c>
      <c r="H17" s="10" t="s">
        <v>257</v>
      </c>
      <c r="I17" s="5" t="s">
        <v>258</v>
      </c>
      <c r="J17" s="5"/>
    </row>
    <row r="18" customFormat="false" ht="15" hidden="false" customHeight="false" outlineLevel="0" collapsed="false">
      <c r="A18" s="4" t="s">
        <v>1793</v>
      </c>
      <c r="B18" s="5" t="s">
        <v>1794</v>
      </c>
      <c r="C18" s="20" t="n">
        <v>24000000</v>
      </c>
      <c r="D18" s="20" t="n">
        <v>30100000</v>
      </c>
      <c r="E18" s="20" t="n">
        <f aca="false">IF(C18="","",ROUND(C18*(1+$E$3),0))</f>
        <v>30117600</v>
      </c>
      <c r="F18" s="27" t="n">
        <f aca="false">IF(AND(ISNUMBER(D18),ISNUMBER(E18)),D18/E18-1,"")</f>
        <v>-0.000584375913087354</v>
      </c>
      <c r="G18" s="28" t="n">
        <f aca="false">IF(ISNUMBER(D18),D18,E18)</f>
        <v>30100000</v>
      </c>
      <c r="H18" s="10" t="s">
        <v>257</v>
      </c>
      <c r="I18" s="5" t="s">
        <v>258</v>
      </c>
      <c r="J18" s="5"/>
    </row>
    <row r="19" customFormat="false" ht="15" hidden="false" customHeight="false" outlineLevel="0" collapsed="false">
      <c r="A19" s="4" t="s">
        <v>1795</v>
      </c>
      <c r="B19" s="5" t="s">
        <v>1796</v>
      </c>
      <c r="C19" s="20" t="n">
        <v>12000000</v>
      </c>
      <c r="D19" s="20"/>
      <c r="E19" s="20" t="n">
        <f aca="false">IF(C19="","",ROUND(C19*(1+$E$3),0))</f>
        <v>15058800</v>
      </c>
      <c r="F19" s="27" t="str">
        <f aca="false">IF(AND(ISNUMBER(D19),ISNUMBER(E19)),D19/E19-1,"")</f>
        <v/>
      </c>
      <c r="G19" s="28" t="n">
        <f aca="false">IF(ISNUMBER(D19),D19,E19)</f>
        <v>15058800</v>
      </c>
      <c r="H19" s="9" t="s">
        <v>288</v>
      </c>
      <c r="I19" s="5" t="s">
        <v>77</v>
      </c>
      <c r="J19" s="5"/>
    </row>
    <row r="20" customFormat="false" ht="15" hidden="false" customHeight="false" outlineLevel="0" collapsed="false">
      <c r="A20" s="4" t="s">
        <v>1797</v>
      </c>
      <c r="B20" s="5" t="s">
        <v>557</v>
      </c>
      <c r="C20" s="20" t="n">
        <v>2000000</v>
      </c>
      <c r="D20" s="20" t="n">
        <v>2500000</v>
      </c>
      <c r="E20" s="20" t="n">
        <f aca="false">IF(C20="","",ROUND(C20*(1+$E$3),0))</f>
        <v>2509800</v>
      </c>
      <c r="F20" s="27" t="n">
        <f aca="false">IF(AND(ISNUMBER(D20),ISNUMBER(E20)),D20/E20-1,"")</f>
        <v>-0.0039046936010837</v>
      </c>
      <c r="G20" s="28" t="n">
        <f aca="false">IF(ISNUMBER(D20),D20,E20)</f>
        <v>2500000</v>
      </c>
      <c r="H20" s="10" t="s">
        <v>257</v>
      </c>
      <c r="I20" s="5" t="s">
        <v>258</v>
      </c>
      <c r="J20" s="5"/>
    </row>
    <row r="21" customFormat="false" ht="15" hidden="false" customHeight="false" outlineLevel="0" collapsed="false">
      <c r="A21" s="4" t="s">
        <v>1798</v>
      </c>
      <c r="B21" s="5" t="s">
        <v>1799</v>
      </c>
      <c r="C21" s="20" t="n">
        <v>240000000</v>
      </c>
      <c r="D21" s="20"/>
      <c r="E21" s="20" t="n">
        <f aca="false">IF(C21="","",ROUND(C21*(1+$E$3),0))</f>
        <v>301176000</v>
      </c>
      <c r="F21" s="27" t="str">
        <f aca="false">IF(AND(ISNUMBER(D21),ISNUMBER(E21)),D21/E21-1,"")</f>
        <v/>
      </c>
      <c r="G21" s="28" t="n">
        <f aca="false">IF(ISNUMBER(D21),D21,E21)</f>
        <v>301176000</v>
      </c>
      <c r="H21" s="9" t="s">
        <v>288</v>
      </c>
      <c r="I21" s="5" t="s">
        <v>77</v>
      </c>
      <c r="J21" s="5"/>
    </row>
    <row r="22" customFormat="false" ht="15" hidden="false" customHeight="false" outlineLevel="0" collapsed="false">
      <c r="A22" s="4" t="s">
        <v>1800</v>
      </c>
      <c r="B22" s="5" t="s">
        <v>1801</v>
      </c>
      <c r="C22" s="20" t="n">
        <v>180000000</v>
      </c>
      <c r="D22" s="20"/>
      <c r="E22" s="20" t="n">
        <f aca="false">IF(C22="","",ROUND(C22*(1+$E$3),0))</f>
        <v>225882000</v>
      </c>
      <c r="F22" s="27" t="str">
        <f aca="false">IF(AND(ISNUMBER(D22),ISNUMBER(E22)),D22/E22-1,"")</f>
        <v/>
      </c>
      <c r="G22" s="28" t="n">
        <f aca="false">IF(ISNUMBER(D22),D22,E22)</f>
        <v>225882000</v>
      </c>
      <c r="H22" s="9" t="s">
        <v>288</v>
      </c>
      <c r="I22" s="5" t="s">
        <v>77</v>
      </c>
      <c r="J22" s="5"/>
    </row>
    <row r="23" customFormat="false" ht="15" hidden="false" customHeight="false" outlineLevel="0" collapsed="false">
      <c r="A23" s="4" t="s">
        <v>1802</v>
      </c>
      <c r="B23" s="5" t="s">
        <v>1803</v>
      </c>
      <c r="C23" s="20" t="n">
        <v>21589500</v>
      </c>
      <c r="D23" s="20" t="n">
        <v>27092663</v>
      </c>
      <c r="E23" s="20" t="n">
        <f aca="false">IF(C23="","",ROUND(C23*(1+$E$3),0))</f>
        <v>27092664</v>
      </c>
      <c r="F23" s="27" t="n">
        <f aca="false">IF(AND(ISNUMBER(D23),ISNUMBER(E23)),D23/E23-1,"")</f>
        <v>-3.69103606567833E-008</v>
      </c>
      <c r="G23" s="28" t="n">
        <f aca="false">IF(ISNUMBER(D23),D23,E23)</f>
        <v>27092663</v>
      </c>
      <c r="H23" s="8" t="s">
        <v>339</v>
      </c>
      <c r="I23" s="5" t="s">
        <v>1804</v>
      </c>
      <c r="J23" s="5" t="s">
        <v>1805</v>
      </c>
    </row>
    <row r="24" customFormat="false" ht="15" hidden="false" customHeight="false" outlineLevel="0" collapsed="false">
      <c r="A24" s="4" t="s">
        <v>1806</v>
      </c>
      <c r="B24" s="5" t="s">
        <v>1807</v>
      </c>
      <c r="C24" s="20" t="n">
        <v>14393000</v>
      </c>
      <c r="D24" s="20" t="n">
        <v>18061775</v>
      </c>
      <c r="E24" s="20" t="n">
        <f aca="false">IF(C24="","",ROUND(C24*(1+$E$3),0))</f>
        <v>18061776</v>
      </c>
      <c r="F24" s="27" t="n">
        <f aca="false">IF(AND(ISNUMBER(D24),ISNUMBER(E24)),D24/E24-1,"")</f>
        <v>-5.53655410406861E-008</v>
      </c>
      <c r="G24" s="28" t="n">
        <f aca="false">IF(ISNUMBER(D24),D24,E24)</f>
        <v>18061775</v>
      </c>
      <c r="H24" s="8" t="s">
        <v>339</v>
      </c>
      <c r="I24" s="5" t="s">
        <v>363</v>
      </c>
      <c r="J24" s="5" t="s">
        <v>1808</v>
      </c>
    </row>
    <row r="25" customFormat="false" ht="15" hidden="false" customHeight="false" outlineLevel="0" collapsed="false">
      <c r="A25" s="4" t="s">
        <v>1809</v>
      </c>
      <c r="B25" s="5" t="s">
        <v>954</v>
      </c>
      <c r="C25" s="20"/>
      <c r="D25" s="20" t="n">
        <v>5000000</v>
      </c>
      <c r="E25" s="20"/>
      <c r="F25" s="27" t="str">
        <f aca="false">IF(AND(ISNUMBER(D25),ISNUMBER(E25)),D25/E25-1,"")</f>
        <v/>
      </c>
      <c r="G25" s="28" t="n">
        <f aca="false">IF(ISNUMBER(D25),D25,E25)</f>
        <v>5000000</v>
      </c>
      <c r="H25" s="8" t="s">
        <v>22</v>
      </c>
      <c r="I25" s="5" t="s">
        <v>654</v>
      </c>
      <c r="J25" s="5"/>
    </row>
    <row r="26" customFormat="false" ht="15" hidden="false" customHeight="false" outlineLevel="0" collapsed="false">
      <c r="A26" s="4" t="s">
        <v>1810</v>
      </c>
      <c r="B26" s="5" t="s">
        <v>954</v>
      </c>
      <c r="C26" s="20"/>
      <c r="D26" s="20" t="n">
        <v>15000000</v>
      </c>
      <c r="E26" s="20"/>
      <c r="F26" s="27" t="str">
        <f aca="false">IF(AND(ISNUMBER(D26),ISNUMBER(E26)),D26/E26-1,"")</f>
        <v/>
      </c>
      <c r="G26" s="28" t="n">
        <f aca="false">IF(ISNUMBER(D26),D26,E26)</f>
        <v>15000000</v>
      </c>
      <c r="H26" s="8" t="s">
        <v>22</v>
      </c>
      <c r="I26" s="5" t="s">
        <v>654</v>
      </c>
      <c r="J26" s="5"/>
    </row>
    <row r="27" customFormat="false" ht="15" hidden="false" customHeight="false" outlineLevel="0" collapsed="false">
      <c r="A27" s="4" t="s">
        <v>1811</v>
      </c>
      <c r="B27" s="5" t="s">
        <v>692</v>
      </c>
      <c r="C27" s="20"/>
      <c r="D27" s="20" t="n">
        <v>5000000</v>
      </c>
      <c r="E27" s="20"/>
      <c r="F27" s="27" t="str">
        <f aca="false">IF(AND(ISNUMBER(D27),ISNUMBER(E27)),D27/E27-1,"")</f>
        <v/>
      </c>
      <c r="G27" s="28" t="n">
        <f aca="false">IF(ISNUMBER(D27),D27,E27)</f>
        <v>5000000</v>
      </c>
      <c r="H27" s="8" t="s">
        <v>22</v>
      </c>
      <c r="I27" s="5" t="s">
        <v>693</v>
      </c>
      <c r="J27" s="5"/>
    </row>
    <row r="28" customFormat="false" ht="15" hidden="false" customHeight="false" outlineLevel="0" collapsed="false">
      <c r="A28" s="4" t="s">
        <v>1812</v>
      </c>
      <c r="B28" s="5" t="s">
        <v>348</v>
      </c>
      <c r="C28" s="20"/>
      <c r="D28" s="20" t="n">
        <v>60000</v>
      </c>
      <c r="E28" s="20"/>
      <c r="F28" s="27" t="str">
        <f aca="false">IF(AND(ISNUMBER(D28),ISNUMBER(E28)),D28/E28-1,"")</f>
        <v/>
      </c>
      <c r="G28" s="28" t="n">
        <f aca="false">IF(ISNUMBER(D28),D28,E28)</f>
        <v>60000</v>
      </c>
      <c r="H28" s="8" t="s">
        <v>22</v>
      </c>
      <c r="I28" s="5" t="s">
        <v>349</v>
      </c>
      <c r="J28" s="5"/>
    </row>
    <row r="29" customFormat="false" ht="15" hidden="false" customHeight="false" outlineLevel="0" collapsed="false">
      <c r="A29" s="4" t="s">
        <v>1813</v>
      </c>
      <c r="B29" s="5" t="s">
        <v>348</v>
      </c>
      <c r="C29" s="20"/>
      <c r="D29" s="20" t="n">
        <v>95000</v>
      </c>
      <c r="E29" s="20"/>
      <c r="F29" s="27" t="str">
        <f aca="false">IF(AND(ISNUMBER(D29),ISNUMBER(E29)),D29/E29-1,"")</f>
        <v/>
      </c>
      <c r="G29" s="28" t="n">
        <f aca="false">IF(ISNUMBER(D29),D29,E29)</f>
        <v>95000</v>
      </c>
      <c r="H29" s="8" t="s">
        <v>22</v>
      </c>
      <c r="I29" s="5" t="s">
        <v>349</v>
      </c>
      <c r="J29" s="5"/>
    </row>
    <row r="30" customFormat="false" ht="15" hidden="false" customHeight="false" outlineLevel="0" collapsed="false">
      <c r="A30" s="4" t="s">
        <v>1814</v>
      </c>
      <c r="B30" s="5" t="s">
        <v>368</v>
      </c>
      <c r="C30" s="20"/>
      <c r="D30" s="20" t="n">
        <v>14000000</v>
      </c>
      <c r="E30" s="20"/>
      <c r="F30" s="27" t="str">
        <f aca="false">IF(AND(ISNUMBER(D30),ISNUMBER(E30)),D30/E30-1,"")</f>
        <v/>
      </c>
      <c r="G30" s="28" t="n">
        <f aca="false">IF(ISNUMBER(D30),D30,E30)</f>
        <v>14000000</v>
      </c>
      <c r="H30" s="8" t="s">
        <v>22</v>
      </c>
      <c r="I30" s="5" t="s">
        <v>159</v>
      </c>
      <c r="J30" s="5"/>
    </row>
    <row r="31" customFormat="false" ht="15" hidden="false" customHeight="false" outlineLevel="0" collapsed="false">
      <c r="A31" s="4" t="s">
        <v>1815</v>
      </c>
      <c r="B31" s="5" t="s">
        <v>368</v>
      </c>
      <c r="C31" s="20"/>
      <c r="D31" s="20" t="n">
        <v>4000000</v>
      </c>
      <c r="E31" s="20"/>
      <c r="F31" s="27" t="str">
        <f aca="false">IF(AND(ISNUMBER(D31),ISNUMBER(E31)),D31/E31-1,"")</f>
        <v/>
      </c>
      <c r="G31" s="28" t="n">
        <f aca="false">IF(ISNUMBER(D31),D31,E31)</f>
        <v>4000000</v>
      </c>
      <c r="H31" s="8" t="s">
        <v>22</v>
      </c>
      <c r="I31" s="5" t="s">
        <v>159</v>
      </c>
      <c r="J3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1" t="s">
        <v>1816</v>
      </c>
    </row>
    <row r="2" customFormat="false" ht="15" hidden="false" customHeight="false" outlineLevel="0" collapsed="false">
      <c r="A2" s="2" t="s">
        <v>1817</v>
      </c>
    </row>
    <row r="4" customFormat="false" ht="30" hidden="false" customHeight="true" outlineLevel="0" collapsed="false">
      <c r="A4" s="3" t="s">
        <v>1818</v>
      </c>
      <c r="B4" s="3" t="s">
        <v>1819</v>
      </c>
      <c r="C4" s="3" t="s">
        <v>1820</v>
      </c>
      <c r="D4" s="3" t="s">
        <v>1821</v>
      </c>
      <c r="E4" s="3" t="s">
        <v>1822</v>
      </c>
      <c r="F4" s="3" t="s">
        <v>1823</v>
      </c>
      <c r="G4" s="3" t="s">
        <v>1824</v>
      </c>
      <c r="H4" s="3" t="s">
        <v>1825</v>
      </c>
      <c r="I4" s="3" t="s">
        <v>1826</v>
      </c>
      <c r="J4" s="3" t="s">
        <v>66</v>
      </c>
    </row>
    <row r="5" customFormat="false" ht="15" hidden="false" customHeight="false" outlineLevel="0" collapsed="false">
      <c r="A5" s="4" t="s">
        <v>1827</v>
      </c>
      <c r="B5" s="29" t="n">
        <v>144</v>
      </c>
      <c r="C5" s="30" t="n">
        <f aca="false">B5/100</f>
        <v>1.44</v>
      </c>
      <c r="D5" s="13" t="n">
        <v>10</v>
      </c>
      <c r="E5" s="29" t="n">
        <v>6.75</v>
      </c>
      <c r="F5" s="29" t="n">
        <v>8.25</v>
      </c>
      <c r="G5" s="29" t="n">
        <v>28.8</v>
      </c>
      <c r="H5" s="13" t="n">
        <v>5</v>
      </c>
      <c r="I5" s="29" t="n">
        <f aca="false">ROUND(B5*0.9,2)</f>
        <v>129.6</v>
      </c>
      <c r="J5" s="5"/>
    </row>
    <row r="6" customFormat="false" ht="15" hidden="false" customHeight="false" outlineLevel="0" collapsed="false">
      <c r="A6" s="4" t="s">
        <v>1828</v>
      </c>
      <c r="B6" s="29" t="n">
        <v>135</v>
      </c>
      <c r="C6" s="30" t="n">
        <f aca="false">B6/100</f>
        <v>1.35</v>
      </c>
      <c r="D6" s="13" t="n">
        <v>10</v>
      </c>
      <c r="E6" s="29" t="n">
        <v>6.3</v>
      </c>
      <c r="F6" s="29" t="n">
        <v>7.7</v>
      </c>
      <c r="G6" s="29" t="n">
        <v>28.8</v>
      </c>
      <c r="H6" s="13" t="n">
        <v>5</v>
      </c>
      <c r="I6" s="29" t="n">
        <f aca="false">ROUND(B6*0.9,2)</f>
        <v>121.5</v>
      </c>
      <c r="J6" s="5"/>
    </row>
    <row r="7" customFormat="false" ht="15" hidden="false" customHeight="false" outlineLevel="0" collapsed="false">
      <c r="A7" s="4" t="s">
        <v>1829</v>
      </c>
      <c r="B7" s="29" t="n">
        <v>106</v>
      </c>
      <c r="C7" s="30" t="n">
        <f aca="false">B7/100</f>
        <v>1.06</v>
      </c>
      <c r="D7" s="13" t="n">
        <v>10</v>
      </c>
      <c r="E7" s="29" t="n">
        <v>4.95</v>
      </c>
      <c r="F7" s="29" t="n">
        <v>6.05</v>
      </c>
      <c r="G7" s="29" t="n">
        <v>28.8</v>
      </c>
      <c r="H7" s="13" t="n">
        <v>5</v>
      </c>
      <c r="I7" s="29" t="n">
        <f aca="false">ROUND(B7*0.9,2)</f>
        <v>95.4</v>
      </c>
      <c r="J7" s="5"/>
    </row>
    <row r="8" customFormat="false" ht="15" hidden="false" customHeight="false" outlineLevel="0" collapsed="false">
      <c r="A8" s="4" t="s">
        <v>1830</v>
      </c>
      <c r="B8" s="29" t="n">
        <v>144</v>
      </c>
      <c r="C8" s="30" t="n">
        <f aca="false">B8/100</f>
        <v>1.44</v>
      </c>
      <c r="D8" s="13" t="n">
        <v>10</v>
      </c>
      <c r="E8" s="29" t="n">
        <v>6.75</v>
      </c>
      <c r="F8" s="29" t="n">
        <v>8.25</v>
      </c>
      <c r="G8" s="29" t="n">
        <v>38.45</v>
      </c>
      <c r="H8" s="13" t="n">
        <v>5</v>
      </c>
      <c r="I8" s="29" t="n">
        <f aca="false">ROUND(B8*0.9,2)</f>
        <v>129.6</v>
      </c>
      <c r="J8" s="5"/>
    </row>
    <row r="9" customFormat="false" ht="15" hidden="false" customHeight="false" outlineLevel="0" collapsed="false">
      <c r="A9" s="4" t="s">
        <v>1831</v>
      </c>
      <c r="B9" s="29" t="n">
        <v>202</v>
      </c>
      <c r="C9" s="30" t="n">
        <f aca="false">B9/100</f>
        <v>2.02</v>
      </c>
      <c r="D9" s="13" t="n">
        <v>15</v>
      </c>
      <c r="E9" s="29" t="n">
        <v>9.45</v>
      </c>
      <c r="F9" s="29" t="n">
        <v>11.55</v>
      </c>
      <c r="G9" s="29" t="n">
        <v>28.8</v>
      </c>
      <c r="H9" s="13" t="n">
        <v>5</v>
      </c>
      <c r="I9" s="29" t="n">
        <f aca="false">ROUND(B9*0.9,2)</f>
        <v>181.8</v>
      </c>
      <c r="J9" s="5"/>
    </row>
    <row r="10" customFormat="false" ht="15" hidden="false" customHeight="false" outlineLevel="0" collapsed="false">
      <c r="A10" s="4" t="s">
        <v>1832</v>
      </c>
      <c r="B10" s="29" t="n">
        <v>106</v>
      </c>
      <c r="C10" s="30" t="n">
        <f aca="false">B10/100</f>
        <v>1.06</v>
      </c>
      <c r="D10" s="13" t="n">
        <v>10</v>
      </c>
      <c r="E10" s="29" t="n">
        <v>4.95</v>
      </c>
      <c r="F10" s="29" t="n">
        <v>6.05</v>
      </c>
      <c r="G10" s="29" t="n">
        <v>28.8</v>
      </c>
      <c r="H10" s="13" t="n">
        <v>5</v>
      </c>
      <c r="I10" s="29" t="n">
        <f aca="false">ROUND(B10*0.9,2)</f>
        <v>95.4</v>
      </c>
      <c r="J10" s="5"/>
    </row>
    <row r="11" customFormat="false" ht="15" hidden="false" customHeight="false" outlineLevel="0" collapsed="false">
      <c r="A11" s="4" t="s">
        <v>1833</v>
      </c>
      <c r="B11" s="29" t="n">
        <v>173</v>
      </c>
      <c r="C11" s="30" t="n">
        <f aca="false">B11/100</f>
        <v>1.73</v>
      </c>
      <c r="D11" s="13" t="n">
        <v>10</v>
      </c>
      <c r="E11" s="29" t="n">
        <v>8.1</v>
      </c>
      <c r="F11" s="29" t="n">
        <v>9.9</v>
      </c>
      <c r="G11" s="29" t="n">
        <v>28.8</v>
      </c>
      <c r="H11" s="13" t="n">
        <v>5</v>
      </c>
      <c r="I11" s="29" t="n">
        <f aca="false">ROUND(B11*0.9,2)</f>
        <v>155.7</v>
      </c>
      <c r="J11" s="5"/>
    </row>
    <row r="12" customFormat="false" ht="15" hidden="false" customHeight="false" outlineLevel="0" collapsed="false">
      <c r="A12" s="4" t="s">
        <v>1834</v>
      </c>
      <c r="B12" s="29" t="n">
        <v>134.9</v>
      </c>
      <c r="C12" s="30" t="n">
        <f aca="false">B12/100</f>
        <v>1.349</v>
      </c>
      <c r="D12" s="13" t="n">
        <v>10</v>
      </c>
      <c r="E12" s="29" t="n">
        <v>5.75</v>
      </c>
      <c r="F12" s="29" t="n">
        <v>8</v>
      </c>
      <c r="G12" s="29" t="n">
        <v>21.58</v>
      </c>
      <c r="H12" s="13" t="n">
        <v>5</v>
      </c>
      <c r="I12" s="29" t="n">
        <f aca="false">ROUND(B12*0.9,2)</f>
        <v>121.41</v>
      </c>
      <c r="J12" s="5" t="s">
        <v>1835</v>
      </c>
    </row>
    <row r="13" customFormat="false" ht="15" hidden="false" customHeight="false" outlineLevel="0" collapsed="false">
      <c r="A13" s="4" t="s">
        <v>1836</v>
      </c>
      <c r="B13" s="29" t="n">
        <v>106</v>
      </c>
      <c r="C13" s="30" t="n">
        <f aca="false">B13/100</f>
        <v>1.06</v>
      </c>
      <c r="D13" s="13" t="n">
        <v>10</v>
      </c>
      <c r="E13" s="29" t="n">
        <v>4.95</v>
      </c>
      <c r="F13" s="29" t="n">
        <v>6.05</v>
      </c>
      <c r="G13" s="29" t="n">
        <v>28.8</v>
      </c>
      <c r="H13" s="13" t="n">
        <v>5</v>
      </c>
      <c r="I13" s="29" t="n">
        <f aca="false">ROUND(B13*0.9,2)</f>
        <v>95.4</v>
      </c>
      <c r="J13" s="5"/>
    </row>
    <row r="14" customFormat="false" ht="15" hidden="false" customHeight="false" outlineLevel="0" collapsed="false">
      <c r="A14" s="4" t="s">
        <v>1837</v>
      </c>
      <c r="B14" s="29" t="n">
        <v>125</v>
      </c>
      <c r="C14" s="30" t="n">
        <f aca="false">B14/100</f>
        <v>1.25</v>
      </c>
      <c r="D14" s="13" t="n">
        <v>10</v>
      </c>
      <c r="E14" s="29" t="n">
        <v>5.85</v>
      </c>
      <c r="F14" s="29" t="n">
        <v>7.15</v>
      </c>
      <c r="G14" s="29" t="n">
        <v>38.45</v>
      </c>
      <c r="H14" s="13" t="n">
        <v>10</v>
      </c>
      <c r="I14" s="29" t="n">
        <f aca="false">ROUND(B14*0.9,2)</f>
        <v>112.5</v>
      </c>
      <c r="J14" s="5" t="s">
        <v>1838</v>
      </c>
    </row>
    <row r="15" customFormat="false" ht="15" hidden="false" customHeight="false" outlineLevel="0" collapsed="false">
      <c r="A15" s="4" t="s">
        <v>1839</v>
      </c>
      <c r="B15" s="29" t="n">
        <v>202</v>
      </c>
      <c r="C15" s="30" t="n">
        <f aca="false">B15/100</f>
        <v>2.02</v>
      </c>
      <c r="D15" s="13" t="n">
        <v>15</v>
      </c>
      <c r="E15" s="29" t="n">
        <v>9.45</v>
      </c>
      <c r="F15" s="29" t="n">
        <v>11.55</v>
      </c>
      <c r="G15" s="29" t="n">
        <v>38.45</v>
      </c>
      <c r="H15" s="13" t="n">
        <v>10</v>
      </c>
      <c r="I15" s="29" t="n">
        <f aca="false">ROUND(B15*0.9,2)</f>
        <v>181.8</v>
      </c>
      <c r="J15" s="5" t="s">
        <v>1840</v>
      </c>
    </row>
    <row r="16" customFormat="false" ht="15" hidden="false" customHeight="false" outlineLevel="0" collapsed="false">
      <c r="A16" s="4" t="s">
        <v>1841</v>
      </c>
      <c r="B16" s="29" t="n">
        <v>135</v>
      </c>
      <c r="C16" s="30" t="n">
        <f aca="false">B16/100</f>
        <v>1.35</v>
      </c>
      <c r="D16" s="13" t="n">
        <v>10</v>
      </c>
      <c r="E16" s="29" t="n">
        <v>6.3</v>
      </c>
      <c r="F16" s="29" t="n">
        <v>7.7</v>
      </c>
      <c r="G16" s="29" t="n">
        <v>38.45</v>
      </c>
      <c r="H16" s="13" t="n">
        <v>10</v>
      </c>
      <c r="I16" s="29" t="n">
        <f aca="false">ROUND(B16*0.9,2)</f>
        <v>121.5</v>
      </c>
      <c r="J16" s="5"/>
    </row>
    <row r="18" customFormat="false" ht="15" hidden="false" customHeight="true" outlineLevel="0" collapsed="false">
      <c r="A18" s="4" t="s">
        <v>1842</v>
      </c>
      <c r="B18" s="31" t="s">
        <v>1843</v>
      </c>
      <c r="C18" s="31"/>
      <c r="D18" s="31"/>
      <c r="E18" s="31"/>
      <c r="F18" s="31"/>
      <c r="G18" s="31"/>
      <c r="H18" s="31"/>
      <c r="I18" s="31"/>
      <c r="J18" s="31"/>
    </row>
    <row r="19" customFormat="false" ht="23.85" hidden="false" customHeight="true" outlineLevel="0" collapsed="false">
      <c r="A19" s="4" t="s">
        <v>1844</v>
      </c>
      <c r="B19" s="31" t="s">
        <v>1845</v>
      </c>
      <c r="C19" s="31"/>
      <c r="D19" s="31"/>
      <c r="E19" s="31"/>
      <c r="F19" s="31"/>
      <c r="G19" s="31"/>
      <c r="H19" s="31"/>
      <c r="I19" s="31"/>
      <c r="J19" s="31"/>
    </row>
    <row r="20" customFormat="false" ht="15" hidden="false" customHeight="false" outlineLevel="0" collapsed="false">
      <c r="A20" s="4" t="s">
        <v>18</v>
      </c>
      <c r="B20" s="7" t="s">
        <v>20</v>
      </c>
      <c r="C20" s="5" t="s">
        <v>1846</v>
      </c>
    </row>
  </sheetData>
  <autoFilter ref="A4:J16"/>
  <mergeCells count="2">
    <mergeCell ref="B18:J18"/>
    <mergeCell ref="B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2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1847</v>
      </c>
    </row>
    <row r="2" customFormat="false" ht="15" hidden="false" customHeight="false" outlineLevel="0" collapsed="false">
      <c r="A2" s="2" t="s">
        <v>1848</v>
      </c>
    </row>
    <row r="4" customFormat="false" ht="30" hidden="false" customHeight="true" outlineLevel="0" collapsed="false">
      <c r="A4" s="3" t="s">
        <v>594</v>
      </c>
      <c r="B4" s="3" t="s">
        <v>1849</v>
      </c>
      <c r="C4" s="3" t="s">
        <v>1850</v>
      </c>
      <c r="D4" s="3" t="s">
        <v>1851</v>
      </c>
      <c r="E4" s="3" t="s">
        <v>64</v>
      </c>
    </row>
    <row r="5" customFormat="false" ht="15" hidden="false" customHeight="false" outlineLevel="0" collapsed="false">
      <c r="A5" s="4" t="s">
        <v>1852</v>
      </c>
      <c r="B5" s="5" t="s">
        <v>1853</v>
      </c>
      <c r="C5" s="5" t="s">
        <v>1854</v>
      </c>
      <c r="D5" s="5" t="s">
        <v>1855</v>
      </c>
      <c r="E5" s="5" t="s">
        <v>1856</v>
      </c>
    </row>
    <row r="6" customFormat="false" ht="15" hidden="false" customHeight="false" outlineLevel="0" collapsed="false">
      <c r="A6" s="4" t="s">
        <v>1857</v>
      </c>
      <c r="B6" s="5" t="s">
        <v>1858</v>
      </c>
      <c r="C6" s="5" t="s">
        <v>1854</v>
      </c>
      <c r="D6" s="5" t="s">
        <v>1859</v>
      </c>
      <c r="E6" s="5" t="s">
        <v>1860</v>
      </c>
    </row>
    <row r="7" customFormat="false" ht="15" hidden="false" customHeight="false" outlineLevel="0" collapsed="false">
      <c r="A7" s="4" t="s">
        <v>1861</v>
      </c>
      <c r="B7" s="5" t="s">
        <v>1862</v>
      </c>
      <c r="C7" s="5" t="s">
        <v>1854</v>
      </c>
      <c r="D7" s="5" t="s">
        <v>1863</v>
      </c>
      <c r="E7" s="5" t="s">
        <v>1864</v>
      </c>
    </row>
    <row r="8" customFormat="false" ht="23.85" hidden="false" customHeight="false" outlineLevel="0" collapsed="false">
      <c r="A8" s="4" t="s">
        <v>1865</v>
      </c>
      <c r="B8" s="5" t="s">
        <v>1866</v>
      </c>
      <c r="C8" s="5" t="s">
        <v>1854</v>
      </c>
      <c r="D8" s="5" t="s">
        <v>1863</v>
      </c>
      <c r="E8" s="5" t="s">
        <v>1867</v>
      </c>
    </row>
    <row r="9" customFormat="false" ht="15" hidden="false" customHeight="false" outlineLevel="0" collapsed="false">
      <c r="A9" s="4" t="s">
        <v>1868</v>
      </c>
      <c r="B9" s="5" t="s">
        <v>1869</v>
      </c>
      <c r="C9" s="5" t="s">
        <v>1854</v>
      </c>
      <c r="D9" s="5" t="s">
        <v>1863</v>
      </c>
      <c r="E9" s="5" t="s">
        <v>1870</v>
      </c>
    </row>
    <row r="10" customFormat="false" ht="15" hidden="false" customHeight="false" outlineLevel="0" collapsed="false">
      <c r="A10" s="4" t="s">
        <v>1871</v>
      </c>
      <c r="B10" s="5" t="s">
        <v>1872</v>
      </c>
      <c r="C10" s="5" t="s">
        <v>1854</v>
      </c>
      <c r="D10" s="5" t="s">
        <v>1873</v>
      </c>
      <c r="E10" s="5" t="s">
        <v>1874</v>
      </c>
    </row>
    <row r="11" customFormat="false" ht="23.85" hidden="false" customHeight="false" outlineLevel="0" collapsed="false">
      <c r="A11" s="4" t="s">
        <v>1875</v>
      </c>
      <c r="B11" s="5" t="s">
        <v>1876</v>
      </c>
      <c r="C11" s="5" t="s">
        <v>1854</v>
      </c>
      <c r="D11" s="5" t="s">
        <v>1877</v>
      </c>
      <c r="E11" s="5" t="s">
        <v>1878</v>
      </c>
    </row>
    <row r="12" customFormat="false" ht="15" hidden="false" customHeight="false" outlineLevel="0" collapsed="false">
      <c r="A12" s="4" t="s">
        <v>1879</v>
      </c>
      <c r="B12" s="5" t="s">
        <v>1880</v>
      </c>
      <c r="C12" s="5" t="s">
        <v>1854</v>
      </c>
      <c r="D12" s="5" t="s">
        <v>1881</v>
      </c>
      <c r="E12" s="5" t="s">
        <v>1882</v>
      </c>
    </row>
    <row r="13" customFormat="false" ht="15" hidden="false" customHeight="false" outlineLevel="0" collapsed="false">
      <c r="A13" s="4" t="s">
        <v>1883</v>
      </c>
      <c r="B13" s="5" t="s">
        <v>1884</v>
      </c>
      <c r="C13" s="5" t="s">
        <v>1854</v>
      </c>
      <c r="D13" s="5" t="s">
        <v>1885</v>
      </c>
      <c r="E13" s="5" t="s">
        <v>1886</v>
      </c>
    </row>
    <row r="14" customFormat="false" ht="15" hidden="false" customHeight="false" outlineLevel="0" collapsed="false">
      <c r="A14" s="4" t="s">
        <v>1887</v>
      </c>
      <c r="B14" s="5" t="s">
        <v>1888</v>
      </c>
      <c r="C14" s="5" t="s">
        <v>1854</v>
      </c>
      <c r="D14" s="5" t="s">
        <v>1889</v>
      </c>
      <c r="E14" s="5" t="s">
        <v>1890</v>
      </c>
    </row>
    <row r="15" customFormat="false" ht="15" hidden="false" customHeight="false" outlineLevel="0" collapsed="false">
      <c r="A15" s="4" t="s">
        <v>1891</v>
      </c>
      <c r="B15" s="5" t="s">
        <v>1892</v>
      </c>
      <c r="C15" s="5" t="s">
        <v>1854</v>
      </c>
      <c r="D15" s="5" t="s">
        <v>1893</v>
      </c>
      <c r="E15" s="5" t="s">
        <v>1894</v>
      </c>
    </row>
    <row r="16" customFormat="false" ht="23.85" hidden="false" customHeight="false" outlineLevel="0" collapsed="false">
      <c r="A16" s="4" t="s">
        <v>1895</v>
      </c>
      <c r="B16" s="5" t="s">
        <v>1896</v>
      </c>
      <c r="C16" s="5" t="s">
        <v>1897</v>
      </c>
      <c r="D16" s="5" t="s">
        <v>857</v>
      </c>
      <c r="E16" s="5" t="s">
        <v>1898</v>
      </c>
    </row>
    <row r="17" customFormat="false" ht="23.85" hidden="false" customHeight="false" outlineLevel="0" collapsed="false">
      <c r="A17" s="4" t="s">
        <v>1899</v>
      </c>
      <c r="B17" s="5" t="s">
        <v>1900</v>
      </c>
      <c r="C17" s="5" t="s">
        <v>1897</v>
      </c>
      <c r="D17" s="5" t="s">
        <v>1901</v>
      </c>
      <c r="E17" s="5" t="s">
        <v>1898</v>
      </c>
    </row>
    <row r="18" customFormat="false" ht="23.85" hidden="false" customHeight="false" outlineLevel="0" collapsed="false">
      <c r="A18" s="4" t="s">
        <v>1902</v>
      </c>
      <c r="B18" s="5" t="s">
        <v>1903</v>
      </c>
      <c r="C18" s="5" t="s">
        <v>1897</v>
      </c>
      <c r="D18" s="5" t="s">
        <v>1904</v>
      </c>
      <c r="E18" s="5" t="s">
        <v>1898</v>
      </c>
    </row>
    <row r="19" customFormat="false" ht="23.85" hidden="false" customHeight="false" outlineLevel="0" collapsed="false">
      <c r="A19" s="4" t="s">
        <v>1905</v>
      </c>
      <c r="B19" s="5" t="s">
        <v>1906</v>
      </c>
      <c r="C19" s="5" t="s">
        <v>1897</v>
      </c>
      <c r="D19" s="5" t="s">
        <v>1907</v>
      </c>
      <c r="E19" s="5" t="s">
        <v>1898</v>
      </c>
    </row>
    <row r="20" customFormat="false" ht="23.85" hidden="false" customHeight="false" outlineLevel="0" collapsed="false">
      <c r="A20" s="4" t="s">
        <v>1908</v>
      </c>
      <c r="B20" s="5" t="s">
        <v>1909</v>
      </c>
      <c r="C20" s="5" t="s">
        <v>1897</v>
      </c>
      <c r="D20" s="5" t="s">
        <v>1910</v>
      </c>
      <c r="E20" s="5" t="s">
        <v>1898</v>
      </c>
    </row>
  </sheetData>
  <autoFilter ref="A4:E20"/>
  <conditionalFormatting sqref="C5:C20">
    <cfRule type="cellIs" priority="2" operator="equal" aboveAverage="0" equalAverage="0" bottom="0" percent="0" rank="0" text="" dxfId="14">
      <formula>"Muafiyet yok"</formula>
    </cfRule>
    <cfRule type="expression" priority="3" aboveAverage="0" equalAverage="0" bottom="0" percent="0" rank="0" text="" dxfId="22">
      <formula>ISNUMBER(SEARCH("uygulanabilir",C5))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1911</v>
      </c>
    </row>
    <row r="2" customFormat="false" ht="15" hidden="false" customHeight="false" outlineLevel="0" collapsed="false">
      <c r="A2" s="2" t="s">
        <v>1912</v>
      </c>
    </row>
    <row r="4" customFormat="false" ht="30" hidden="false" customHeight="true" outlineLevel="0" collapsed="false">
      <c r="A4" s="3" t="s">
        <v>1913</v>
      </c>
      <c r="B4" s="3" t="s">
        <v>1914</v>
      </c>
      <c r="C4" s="3" t="s">
        <v>1915</v>
      </c>
      <c r="D4" s="3" t="s">
        <v>56</v>
      </c>
      <c r="E4" s="3" t="s">
        <v>1916</v>
      </c>
      <c r="F4" s="3" t="s">
        <v>18</v>
      </c>
      <c r="G4" s="3" t="s">
        <v>65</v>
      </c>
    </row>
    <row r="5" customFormat="false" ht="23.85" hidden="false" customHeight="false" outlineLevel="0" collapsed="false">
      <c r="A5" s="32" t="n">
        <v>46083</v>
      </c>
      <c r="B5" s="32" t="n">
        <v>46157</v>
      </c>
      <c r="C5" s="4" t="s">
        <v>1917</v>
      </c>
      <c r="D5" s="5" t="str">
        <f aca="false">IFERROR(INDEX(Programlar!$B$5:$B$22,MATCH("P02",Programlar!$A$5:$A$22,0)),"P02")</f>
        <v>9903 · Yerel Kalkınma Hamlesi Programı (YKH)</v>
      </c>
      <c r="E5" s="19" t="str">
        <f aca="true">IF(B5&lt;TODAY(),"Geçti",IF(A5&gt;TODAY(),IF(A5-TODAY()&lt;=30,"Yaklaşıyor · "&amp;(A5-TODAY())&amp;" gün","İleri tarih"),"Açık · "&amp;(B5-TODAY())&amp;" gün kaldı"))</f>
        <v>Geçti</v>
      </c>
      <c r="F5" s="10" t="s">
        <v>26</v>
      </c>
      <c r="G5" s="5" t="s">
        <v>1918</v>
      </c>
    </row>
    <row r="6" customFormat="false" ht="23.85" hidden="false" customHeight="false" outlineLevel="0" collapsed="false">
      <c r="A6" s="32" t="n">
        <v>46143</v>
      </c>
      <c r="B6" s="32" t="n">
        <v>46143</v>
      </c>
      <c r="C6" s="4" t="s">
        <v>1919</v>
      </c>
      <c r="D6" s="5" t="str">
        <f aca="false">IFERROR(INDEX(Programlar!$B$5:$B$22,MATCH("P16",Programlar!$A$5:$A$22,0)),"P16")</f>
        <v>Lisanssız üretim (öz tüketim, mahsuplaşma, ihtiyaç fazlası)</v>
      </c>
      <c r="E6" s="19" t="str">
        <f aca="true">IF(B6&lt;TODAY(),"Geçti",IF(A6&gt;TODAY(),IF(A6-TODAY()&lt;=30,"Yaklaşıyor · "&amp;(A6-TODAY())&amp;" gün","İleri tarih"),"Açık · "&amp;(B6-TODAY())&amp;" gün kaldı"))</f>
        <v>Geçti</v>
      </c>
      <c r="F6" s="7" t="s">
        <v>20</v>
      </c>
      <c r="G6" s="5" t="s">
        <v>409</v>
      </c>
    </row>
    <row r="7" customFormat="false" ht="23.85" hidden="false" customHeight="false" outlineLevel="0" collapsed="false">
      <c r="A7" s="32" t="n">
        <v>46186</v>
      </c>
      <c r="B7" s="32" t="n">
        <v>46186</v>
      </c>
      <c r="C7" s="4" t="s">
        <v>1920</v>
      </c>
      <c r="D7" s="5" t="str">
        <f aca="false">IFERROR(INDEX(Programlar!$B$5:$B$22,MATCH("P16",Programlar!$A$5:$A$22,0)),"P16")</f>
        <v>Lisanssız üretim (öz tüketim, mahsuplaşma, ihtiyaç fazlası)</v>
      </c>
      <c r="E7" s="19" t="str">
        <f aca="true">IF(B7&lt;TODAY(),"Geçti",IF(A7&gt;TODAY(),IF(A7-TODAY()&lt;=30,"Yaklaşıyor · "&amp;(A7-TODAY())&amp;" gün","İleri tarih"),"Açık · "&amp;(B7-TODAY())&amp;" gün kaldı"))</f>
        <v>Geçti</v>
      </c>
      <c r="F7" s="7" t="s">
        <v>20</v>
      </c>
      <c r="G7" s="5" t="s">
        <v>415</v>
      </c>
    </row>
    <row r="8" customFormat="false" ht="15" hidden="false" customHeight="false" outlineLevel="0" collapsed="false">
      <c r="A8" s="32" t="n">
        <v>46204</v>
      </c>
      <c r="B8" s="32" t="n">
        <v>46204</v>
      </c>
      <c r="C8" s="4" t="s">
        <v>1921</v>
      </c>
      <c r="D8" s="5" t="str">
        <f aca="false">IFERROR(INDEX(Programlar!$B$5:$B$22,MATCH("P08",Programlar!$A$5:$A$22,0)),"P08")</f>
        <v>Verimlilik Artırıcı Proje (VAP) Desteği</v>
      </c>
      <c r="E8" s="19" t="str">
        <f aca="true">IF(B8&lt;TODAY(),"Geçti",IF(A8&gt;TODAY(),IF(A8-TODAY()&lt;=30,"Yaklaşıyor · "&amp;(A8-TODAY())&amp;" gün","İleri tarih"),"Açık · "&amp;(B8-TODAY())&amp;" gün kaldı"))</f>
        <v>Geçti</v>
      </c>
      <c r="F8" s="8" t="s">
        <v>22</v>
      </c>
      <c r="G8" s="5" t="s">
        <v>654</v>
      </c>
    </row>
    <row r="9" customFormat="false" ht="15" hidden="false" customHeight="false" outlineLevel="0" collapsed="false">
      <c r="A9" s="32" t="n">
        <v>46204</v>
      </c>
      <c r="B9" s="32" t="n">
        <v>46295</v>
      </c>
      <c r="C9" s="4" t="s">
        <v>1922</v>
      </c>
      <c r="D9" s="5" t="str">
        <f aca="false">IFERROR(INDEX(Programlar!$B$5:$B$22,MATCH("P10",Programlar!$A$5:$A$22,0)),"P10")</f>
        <v>Enerji ve Karbon Azaltım (EKA) Desteği</v>
      </c>
      <c r="E9" s="19" t="str">
        <f aca="true">IF(B9&lt;TODAY(),"Geçti",IF(A9&gt;TODAY(),IF(A9-TODAY()&lt;=30,"Yaklaşıyor · "&amp;(A9-TODAY())&amp;" gün","İleri tarih"),"Açık · "&amp;(B9-TODAY())&amp;" gün kaldı"))</f>
        <v>Açık · 4 gün kaldı</v>
      </c>
      <c r="F9" s="8" t="s">
        <v>22</v>
      </c>
      <c r="G9" s="5" t="s">
        <v>707</v>
      </c>
    </row>
    <row r="10" customFormat="false" ht="23.85" hidden="false" customHeight="false" outlineLevel="0" collapsed="false">
      <c r="A10" s="32" t="n">
        <v>46214</v>
      </c>
      <c r="B10" s="32" t="n">
        <v>46214</v>
      </c>
      <c r="C10" s="4" t="s">
        <v>1923</v>
      </c>
      <c r="D10" s="5" t="str">
        <f aca="false">IFERROR(INDEX(Programlar!$B$5:$B$22,MATCH("P17",Programlar!$A$5:$A$22,0)),"P17")</f>
        <v>YEKA 2026 (GES-2026, RES-2026 yarışmaları)</v>
      </c>
      <c r="E10" s="19" t="str">
        <f aca="true">IF(B10&lt;TODAY(),"Geçti",IF(A10&gt;TODAY(),IF(A10-TODAY()&lt;=30,"Yaklaşıyor · "&amp;(A10-TODAY())&amp;" gün","İleri tarih"),"Açık · "&amp;(B10-TODAY())&amp;" gün kaldı"))</f>
        <v>Geçti</v>
      </c>
      <c r="F10" s="7" t="s">
        <v>20</v>
      </c>
      <c r="G10" s="5" t="s">
        <v>795</v>
      </c>
    </row>
    <row r="11" customFormat="false" ht="23.85" hidden="false" customHeight="false" outlineLevel="0" collapsed="false">
      <c r="A11" s="32" t="n">
        <v>46307</v>
      </c>
      <c r="B11" s="32" t="n">
        <v>46307</v>
      </c>
      <c r="C11" s="4" t="s">
        <v>1924</v>
      </c>
      <c r="D11" s="5" t="str">
        <f aca="false">IFERROR(INDEX(Programlar!$B$5:$B$22,MATCH("P13",Programlar!$A$5:$A$22,0)),"P13")</f>
        <v>TÜBİTAK 1832 Sanayide Yeşil Dönüşüm (Ar-Ge)</v>
      </c>
      <c r="E11" s="19" t="str">
        <f aca="true">IF(B11&lt;TODAY(),"Geçti",IF(A11&gt;TODAY(),IF(A11-TODAY()&lt;=30,"Yaklaşıyor · "&amp;(A11-TODAY())&amp;" gün","İleri tarih"),"Açık · "&amp;(B11-TODAY())&amp;" gün kaldı"))</f>
        <v>Yaklaşıyor · 16 gün</v>
      </c>
      <c r="F11" s="8" t="s">
        <v>22</v>
      </c>
      <c r="G11" s="5" t="s">
        <v>177</v>
      </c>
    </row>
    <row r="12" customFormat="false" ht="23.85" hidden="false" customHeight="false" outlineLevel="0" collapsed="false">
      <c r="A12" s="32" t="n">
        <v>46308</v>
      </c>
      <c r="B12" s="32" t="n">
        <v>46308</v>
      </c>
      <c r="C12" s="4" t="s">
        <v>1925</v>
      </c>
      <c r="D12" s="5" t="str">
        <f aca="false">IFERROR(INDEX(Programlar!$B$5:$B$22,MATCH("P17",Programlar!$A$5:$A$22,0)),"P17")</f>
        <v>YEKA 2026 (GES-2026, RES-2026 yarışmaları)</v>
      </c>
      <c r="E12" s="19" t="str">
        <f aca="true">IF(B12&lt;TODAY(),"Geçti",IF(A12&gt;TODAY(),IF(A12-TODAY()&lt;=30,"Yaklaşıyor · "&amp;(A12-TODAY())&amp;" gün","İleri tarih"),"Açık · "&amp;(B12-TODAY())&amp;" gün kaldı"))</f>
        <v>Yaklaşıyor · 17 gün</v>
      </c>
      <c r="F12" s="8" t="s">
        <v>22</v>
      </c>
      <c r="G12" s="5" t="s">
        <v>1926</v>
      </c>
    </row>
    <row r="13" customFormat="false" ht="15" hidden="false" customHeight="false" outlineLevel="0" collapsed="false">
      <c r="A13" s="32" t="n">
        <v>46387</v>
      </c>
      <c r="B13" s="32" t="n">
        <v>46387</v>
      </c>
      <c r="C13" s="4" t="s">
        <v>1927</v>
      </c>
      <c r="D13" s="5" t="str">
        <f aca="false">IFERROR(INDEX(Programlar!$B$5:$B$22,MATCH("P06",Programlar!$A$5:$A$22,0)),"P06")</f>
        <v>9903 · Bölgesel teşvikler (SGK desteği)</v>
      </c>
      <c r="E13" s="19" t="str">
        <f aca="true">IF(B13&lt;TODAY(),"Geçti",IF(A13&gt;TODAY(),IF(A13-TODAY()&lt;=30,"Yaklaşıyor · "&amp;(A13-TODAY())&amp;" gün","İleri tarih"),"Açık · "&amp;(B13-TODAY())&amp;" gün kaldı"))</f>
        <v>İleri tarih</v>
      </c>
      <c r="F13" s="7" t="s">
        <v>20</v>
      </c>
      <c r="G13" s="5" t="s">
        <v>77</v>
      </c>
    </row>
    <row r="14" customFormat="false" ht="15" hidden="false" customHeight="false" outlineLevel="0" collapsed="false">
      <c r="A14" s="32" t="n">
        <v>46388</v>
      </c>
      <c r="B14" s="32" t="n">
        <v>46388</v>
      </c>
      <c r="C14" s="4" t="s">
        <v>1928</v>
      </c>
      <c r="D14" s="5" t="str">
        <f aca="false">IFERROR(INDEX(Programlar!$B$5:$B$22,MATCH("P08",Programlar!$A$5:$A$22,0)),"P08")</f>
        <v>Verimlilik Artırıcı Proje (VAP) Desteği</v>
      </c>
      <c r="E14" s="19" t="str">
        <f aca="true">IF(B14&lt;TODAY(),"Geçti",IF(A14&gt;TODAY(),IF(A14-TODAY()&lt;=30,"Yaklaşıyor · "&amp;(A14-TODAY())&amp;" gün","İleri tarih"),"Açık · "&amp;(B14-TODAY())&amp;" gün kaldı"))</f>
        <v>İleri tarih</v>
      </c>
      <c r="F14" s="8" t="s">
        <v>22</v>
      </c>
      <c r="G14" s="5" t="s">
        <v>654</v>
      </c>
    </row>
    <row r="15" customFormat="false" ht="15" hidden="false" customHeight="false" outlineLevel="0" collapsed="false">
      <c r="A15" s="32" t="n">
        <v>46388</v>
      </c>
      <c r="B15" s="32" t="n">
        <v>46388</v>
      </c>
      <c r="C15" s="4" t="s">
        <v>1929</v>
      </c>
      <c r="D15" s="5" t="str">
        <f aca="false">IFERROR(INDEX(Programlar!$B$5:$B$22,MATCH("P01",Programlar!$A$5:$A$22,0)),"P01")</f>
        <v>9903 · Teknoloji Hamlesi Programı (THP)</v>
      </c>
      <c r="E15" s="19" t="str">
        <f aca="true">IF(B15&lt;TODAY(),"Geçti",IF(A15&gt;TODAY(),IF(A15-TODAY()&lt;=30,"Yaklaşıyor · "&amp;(A15-TODAY())&amp;" gün","İleri tarih"),"Açık · "&amp;(B15-TODAY())&amp;" gün kaldı"))</f>
        <v>İleri tarih</v>
      </c>
      <c r="F15" s="7" t="s">
        <v>20</v>
      </c>
      <c r="G15" s="5" t="s">
        <v>1930</v>
      </c>
    </row>
    <row r="16" customFormat="false" ht="15" hidden="false" customHeight="false" outlineLevel="0" collapsed="false">
      <c r="A16" s="32" t="n">
        <v>46599</v>
      </c>
      <c r="B16" s="32" t="n">
        <v>46599</v>
      </c>
      <c r="C16" s="4" t="s">
        <v>1931</v>
      </c>
      <c r="D16" s="5" t="str">
        <f aca="false">IFERROR(INDEX(Programlar!$B$5:$B$22,MATCH("P10",Programlar!$A$5:$A$22,0)),"P10")</f>
        <v>Enerji ve Karbon Azaltım (EKA) Desteği</v>
      </c>
      <c r="E16" s="19" t="str">
        <f aca="true">IF(B16&lt;TODAY(),"Geçti",IF(A16&gt;TODAY(),IF(A16-TODAY()&lt;=30,"Yaklaşıyor · "&amp;(A16-TODAY())&amp;" gün","İleri tarih"),"Açık · "&amp;(B16-TODAY())&amp;" gün kaldı"))</f>
        <v>İleri tarih</v>
      </c>
      <c r="F16" s="7" t="s">
        <v>20</v>
      </c>
      <c r="G16" s="5" t="s">
        <v>712</v>
      </c>
    </row>
    <row r="17" customFormat="false" ht="15" hidden="false" customHeight="false" outlineLevel="0" collapsed="false">
      <c r="A17" s="32" t="n">
        <v>47118</v>
      </c>
      <c r="B17" s="32" t="n">
        <v>47118</v>
      </c>
      <c r="C17" s="4" t="s">
        <v>1932</v>
      </c>
      <c r="D17" s="5" t="str">
        <f aca="false">IFERROR(INDEX(Programlar!$B$5:$B$22,MATCH("P06",Programlar!$A$5:$A$22,0)),"P06")</f>
        <v>9903 · Bölgesel teşvikler (SGK desteği)</v>
      </c>
      <c r="E17" s="19" t="str">
        <f aca="true">IF(B17&lt;TODAY(),"Geçti",IF(A17&gt;TODAY(),IF(A17-TODAY()&lt;=30,"Yaklaşıyor · "&amp;(A17-TODAY())&amp;" gün","İleri tarih"),"Açık · "&amp;(B17-TODAY())&amp;" gün kaldı"))</f>
        <v>İleri tarih</v>
      </c>
      <c r="F17" s="7" t="s">
        <v>20</v>
      </c>
      <c r="G17" s="5" t="s">
        <v>77</v>
      </c>
    </row>
    <row r="18" customFormat="false" ht="15" hidden="false" customHeight="false" outlineLevel="0" collapsed="false">
      <c r="A18" s="32" t="n">
        <v>47848</v>
      </c>
      <c r="B18" s="32" t="n">
        <v>47848</v>
      </c>
      <c r="C18" s="4" t="s">
        <v>1933</v>
      </c>
      <c r="D18" s="5" t="str">
        <f aca="false">IFERROR(INDEX(Programlar!$B$5:$B$22,MATCH("P04",Programlar!$A$5:$A$22,0)),"P04")</f>
        <v>9903 · Öncelikli Yatırımlar Teşvik Sistemi</v>
      </c>
      <c r="E18" s="19" t="str">
        <f aca="true">IF(B18&lt;TODAY(),"Geçti",IF(A18&gt;TODAY(),IF(A18-TODAY()&lt;=30,"Yaklaşıyor · "&amp;(A18-TODAY())&amp;" gün","İleri tarih"),"Açık · "&amp;(B18-TODAY())&amp;" gün kaldı"))</f>
        <v>İleri tarih</v>
      </c>
      <c r="F18" s="7" t="s">
        <v>20</v>
      </c>
      <c r="G18" s="5" t="s">
        <v>77</v>
      </c>
    </row>
    <row r="19" customFormat="false" ht="23.85" hidden="false" customHeight="false" outlineLevel="0" collapsed="false">
      <c r="A19" s="32" t="n">
        <v>47848</v>
      </c>
      <c r="B19" s="32" t="n">
        <v>47848</v>
      </c>
      <c r="C19" s="4" t="s">
        <v>1934</v>
      </c>
      <c r="D19" s="5" t="str">
        <f aca="false">IFERROR(INDEX(Programlar!$B$5:$B$22,MATCH("P15",Programlar!$A$5:$A$22,0)),"P15")</f>
        <v>YEKDEM (Yenilenebilir Enerji Kaynakları Destekleme Mekanizması)</v>
      </c>
      <c r="E19" s="19" t="str">
        <f aca="true">IF(B19&lt;TODAY(),"Geçti",IF(A19&gt;TODAY(),IF(A19-TODAY()&lt;=30,"Yaklaşıyor · "&amp;(A19-TODAY())&amp;" gün","İleri tarih"),"Açık · "&amp;(B19-TODAY())&amp;" gün kaldı"))</f>
        <v>İleri tarih</v>
      </c>
      <c r="F19" s="7" t="s">
        <v>20</v>
      </c>
      <c r="G19" s="5" t="s">
        <v>198</v>
      </c>
    </row>
  </sheetData>
  <autoFilter ref="A4:G19"/>
  <conditionalFormatting sqref="E5:E19">
    <cfRule type="expression" priority="2" aboveAverage="0" equalAverage="0" bottom="0" percent="0" rank="0" text="" dxfId="22">
      <formula>LEFT(E5,4)="Açık"</formula>
    </cfRule>
    <cfRule type="expression" priority="3" aboveAverage="0" equalAverage="0" bottom="0" percent="0" rank="0" text="" dxfId="15">
      <formula>LEFT(E5,10)="Yaklaşıyor"</formula>
    </cfRule>
    <cfRule type="cellIs" priority="4" operator="equal" aboveAverage="0" equalAverage="0" bottom="0" percent="0" rank="0" text="" dxfId="34">
      <formula>"Geçti"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50"/>
    <col collapsed="false" customWidth="true" hidden="false" outlineLevel="0" max="6" min="6" style="0" width="52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1935</v>
      </c>
    </row>
    <row r="2" customFormat="false" ht="15" hidden="false" customHeight="false" outlineLevel="0" collapsed="false">
      <c r="A2" s="2" t="s">
        <v>1936</v>
      </c>
    </row>
    <row r="4" customFormat="false" ht="30" hidden="false" customHeight="true" outlineLevel="0" collapsed="false">
      <c r="A4" s="3" t="s">
        <v>55</v>
      </c>
      <c r="B4" s="3" t="s">
        <v>65</v>
      </c>
      <c r="C4" s="3" t="s">
        <v>1937</v>
      </c>
      <c r="D4" s="3" t="s">
        <v>1938</v>
      </c>
      <c r="E4" s="3" t="s">
        <v>1939</v>
      </c>
      <c r="F4" s="3" t="s">
        <v>66</v>
      </c>
      <c r="G4" s="3" t="s">
        <v>1940</v>
      </c>
    </row>
    <row r="5" customFormat="false" ht="23.85" hidden="false" customHeight="false" outlineLevel="0" collapsed="false">
      <c r="A5" s="4" t="s">
        <v>463</v>
      </c>
      <c r="B5" s="5" t="s">
        <v>1941</v>
      </c>
      <c r="C5" s="5" t="s">
        <v>1942</v>
      </c>
      <c r="D5" s="5" t="s">
        <v>1943</v>
      </c>
      <c r="E5" s="22" t="s">
        <v>1944</v>
      </c>
      <c r="F5" s="5" t="s">
        <v>1945</v>
      </c>
      <c r="G5" s="13" t="s">
        <v>79</v>
      </c>
    </row>
    <row r="6" customFormat="false" ht="15" hidden="false" customHeight="false" outlineLevel="0" collapsed="false">
      <c r="A6" s="4" t="s">
        <v>77</v>
      </c>
      <c r="B6" s="5" t="s">
        <v>1946</v>
      </c>
      <c r="C6" s="5" t="s">
        <v>1947</v>
      </c>
      <c r="D6" s="5" t="s">
        <v>1948</v>
      </c>
      <c r="E6" s="22" t="s">
        <v>1949</v>
      </c>
      <c r="F6" s="5" t="s">
        <v>1950</v>
      </c>
      <c r="G6" s="13" t="s">
        <v>79</v>
      </c>
    </row>
    <row r="7" customFormat="false" ht="23.85" hidden="false" customHeight="false" outlineLevel="0" collapsed="false">
      <c r="A7" s="4" t="s">
        <v>1951</v>
      </c>
      <c r="B7" s="5" t="s">
        <v>1952</v>
      </c>
      <c r="C7" s="5" t="s">
        <v>1942</v>
      </c>
      <c r="D7" s="5" t="s">
        <v>1953</v>
      </c>
      <c r="E7" s="22" t="s">
        <v>1954</v>
      </c>
      <c r="F7" s="5" t="s">
        <v>1955</v>
      </c>
      <c r="G7" s="13" t="s">
        <v>79</v>
      </c>
    </row>
    <row r="8" customFormat="false" ht="23.85" hidden="false" customHeight="false" outlineLevel="0" collapsed="false">
      <c r="A8" s="33" t="s">
        <v>1956</v>
      </c>
      <c r="B8" s="34" t="s">
        <v>1957</v>
      </c>
      <c r="C8" s="34" t="s">
        <v>1958</v>
      </c>
      <c r="D8" s="34" t="s">
        <v>1959</v>
      </c>
      <c r="E8" s="35" t="s">
        <v>1960</v>
      </c>
      <c r="F8" s="34" t="s">
        <v>1961</v>
      </c>
      <c r="G8" s="36" t="s">
        <v>79</v>
      </c>
    </row>
    <row r="9" customFormat="false" ht="23.85" hidden="false" customHeight="false" outlineLevel="0" collapsed="false">
      <c r="A9" s="4" t="s">
        <v>567</v>
      </c>
      <c r="B9" s="5" t="s">
        <v>1962</v>
      </c>
      <c r="C9" s="5" t="s">
        <v>1942</v>
      </c>
      <c r="D9" s="5" t="s">
        <v>1963</v>
      </c>
      <c r="E9" s="22" t="s">
        <v>1964</v>
      </c>
      <c r="F9" s="5" t="s">
        <v>1965</v>
      </c>
      <c r="G9" s="13" t="s">
        <v>79</v>
      </c>
    </row>
    <row r="10" customFormat="false" ht="15" hidden="false" customHeight="false" outlineLevel="0" collapsed="false">
      <c r="A10" s="4" t="s">
        <v>332</v>
      </c>
      <c r="B10" s="5" t="s">
        <v>1966</v>
      </c>
      <c r="C10" s="5" t="s">
        <v>1942</v>
      </c>
      <c r="D10" s="5" t="s">
        <v>1967</v>
      </c>
      <c r="E10" s="22" t="s">
        <v>1968</v>
      </c>
      <c r="F10" s="5" t="s">
        <v>1969</v>
      </c>
      <c r="G10" s="13" t="s">
        <v>79</v>
      </c>
    </row>
    <row r="11" customFormat="false" ht="15" hidden="false" customHeight="false" outlineLevel="0" collapsed="false">
      <c r="A11" s="4" t="s">
        <v>1970</v>
      </c>
      <c r="B11" s="5" t="s">
        <v>1971</v>
      </c>
      <c r="C11" s="5" t="s">
        <v>1942</v>
      </c>
      <c r="D11" s="5" t="s">
        <v>1972</v>
      </c>
      <c r="E11" s="22" t="s">
        <v>1973</v>
      </c>
      <c r="F11" s="5" t="s">
        <v>1974</v>
      </c>
      <c r="G11" s="13" t="s">
        <v>79</v>
      </c>
    </row>
    <row r="12" customFormat="false" ht="15" hidden="false" customHeight="false" outlineLevel="0" collapsed="false">
      <c r="A12" s="4" t="s">
        <v>1975</v>
      </c>
      <c r="B12" s="5" t="s">
        <v>1976</v>
      </c>
      <c r="C12" s="5" t="s">
        <v>1942</v>
      </c>
      <c r="D12" s="5" t="s">
        <v>1977</v>
      </c>
      <c r="E12" s="22" t="s">
        <v>1978</v>
      </c>
      <c r="F12" s="5" t="s">
        <v>1979</v>
      </c>
      <c r="G12" s="13" t="s">
        <v>79</v>
      </c>
    </row>
    <row r="13" customFormat="false" ht="23.85" hidden="false" customHeight="false" outlineLevel="0" collapsed="false">
      <c r="A13" s="4" t="s">
        <v>1980</v>
      </c>
      <c r="B13" s="5" t="s">
        <v>1981</v>
      </c>
      <c r="C13" s="5" t="s">
        <v>1942</v>
      </c>
      <c r="D13" s="5" t="s">
        <v>1982</v>
      </c>
      <c r="E13" s="22" t="s">
        <v>1983</v>
      </c>
      <c r="F13" s="5" t="s">
        <v>1984</v>
      </c>
      <c r="G13" s="13" t="s">
        <v>79</v>
      </c>
    </row>
    <row r="14" customFormat="false" ht="15" hidden="false" customHeight="false" outlineLevel="0" collapsed="false">
      <c r="A14" s="4" t="s">
        <v>345</v>
      </c>
      <c r="B14" s="5" t="s">
        <v>1985</v>
      </c>
      <c r="C14" s="5" t="s">
        <v>1986</v>
      </c>
      <c r="D14" s="5" t="s">
        <v>1987</v>
      </c>
      <c r="E14" s="22" t="s">
        <v>1988</v>
      </c>
      <c r="F14" s="5"/>
      <c r="G14" s="13" t="s">
        <v>79</v>
      </c>
    </row>
    <row r="15" customFormat="false" ht="15" hidden="false" customHeight="false" outlineLevel="0" collapsed="false">
      <c r="A15" s="4" t="s">
        <v>654</v>
      </c>
      <c r="B15" s="5" t="s">
        <v>1989</v>
      </c>
      <c r="C15" s="5" t="s">
        <v>1990</v>
      </c>
      <c r="D15" s="5" t="s">
        <v>1991</v>
      </c>
      <c r="E15" s="22" t="s">
        <v>1992</v>
      </c>
      <c r="F15" s="5" t="s">
        <v>1993</v>
      </c>
      <c r="G15" s="13" t="s">
        <v>79</v>
      </c>
    </row>
    <row r="16" customFormat="false" ht="15" hidden="false" customHeight="false" outlineLevel="0" collapsed="false">
      <c r="A16" s="4" t="s">
        <v>1994</v>
      </c>
      <c r="B16" s="5" t="s">
        <v>1995</v>
      </c>
      <c r="C16" s="5" t="s">
        <v>1996</v>
      </c>
      <c r="D16" s="5" t="s">
        <v>1997</v>
      </c>
      <c r="E16" s="22" t="s">
        <v>1998</v>
      </c>
      <c r="F16" s="5" t="s">
        <v>1999</v>
      </c>
      <c r="G16" s="13" t="s">
        <v>79</v>
      </c>
    </row>
    <row r="17" customFormat="false" ht="15" hidden="false" customHeight="false" outlineLevel="0" collapsed="false">
      <c r="A17" s="4" t="s">
        <v>349</v>
      </c>
      <c r="B17" s="5" t="s">
        <v>2000</v>
      </c>
      <c r="C17" s="5" t="s">
        <v>1986</v>
      </c>
      <c r="D17" s="5" t="s">
        <v>2001</v>
      </c>
      <c r="E17" s="22" t="s">
        <v>2002</v>
      </c>
      <c r="F17" s="5"/>
      <c r="G17" s="13" t="s">
        <v>79</v>
      </c>
    </row>
    <row r="18" customFormat="false" ht="15" hidden="false" customHeight="false" outlineLevel="0" collapsed="false">
      <c r="A18" s="4" t="s">
        <v>707</v>
      </c>
      <c r="B18" s="5" t="s">
        <v>2003</v>
      </c>
      <c r="C18" s="5" t="s">
        <v>1990</v>
      </c>
      <c r="D18" s="5" t="s">
        <v>2004</v>
      </c>
      <c r="E18" s="22" t="s">
        <v>2005</v>
      </c>
      <c r="F18" s="5"/>
      <c r="G18" s="13" t="s">
        <v>79</v>
      </c>
    </row>
    <row r="19" customFormat="false" ht="15" hidden="false" customHeight="false" outlineLevel="0" collapsed="false">
      <c r="A19" s="4" t="s">
        <v>712</v>
      </c>
      <c r="B19" s="5" t="s">
        <v>2006</v>
      </c>
      <c r="C19" s="5" t="s">
        <v>1986</v>
      </c>
      <c r="D19" s="5" t="s">
        <v>2007</v>
      </c>
      <c r="E19" s="22" t="s">
        <v>2008</v>
      </c>
      <c r="F19" s="5"/>
      <c r="G19" s="13" t="s">
        <v>79</v>
      </c>
    </row>
    <row r="20" customFormat="false" ht="23.85" hidden="false" customHeight="false" outlineLevel="0" collapsed="false">
      <c r="A20" s="4" t="s">
        <v>353</v>
      </c>
      <c r="B20" s="5" t="s">
        <v>2009</v>
      </c>
      <c r="C20" s="5" t="s">
        <v>1986</v>
      </c>
      <c r="D20" s="5" t="s">
        <v>2010</v>
      </c>
      <c r="E20" s="22" t="s">
        <v>2011</v>
      </c>
      <c r="F20" s="5"/>
      <c r="G20" s="13" t="s">
        <v>79</v>
      </c>
    </row>
    <row r="21" customFormat="false" ht="15" hidden="false" customHeight="false" outlineLevel="0" collapsed="false">
      <c r="A21" s="4" t="s">
        <v>693</v>
      </c>
      <c r="B21" s="5" t="s">
        <v>2012</v>
      </c>
      <c r="C21" s="5" t="s">
        <v>1990</v>
      </c>
      <c r="D21" s="5" t="s">
        <v>2013</v>
      </c>
      <c r="E21" s="22" t="s">
        <v>2014</v>
      </c>
      <c r="F21" s="5"/>
      <c r="G21" s="13" t="s">
        <v>79</v>
      </c>
    </row>
    <row r="22" customFormat="false" ht="23.85" hidden="false" customHeight="false" outlineLevel="0" collapsed="false">
      <c r="A22" s="4" t="s">
        <v>409</v>
      </c>
      <c r="B22" s="5" t="s">
        <v>2015</v>
      </c>
      <c r="C22" s="5" t="s">
        <v>1942</v>
      </c>
      <c r="D22" s="5" t="s">
        <v>2016</v>
      </c>
      <c r="E22" s="22" t="s">
        <v>2017</v>
      </c>
      <c r="F22" s="5"/>
      <c r="G22" s="13" t="s">
        <v>79</v>
      </c>
    </row>
    <row r="23" customFormat="false" ht="15" hidden="false" customHeight="false" outlineLevel="0" collapsed="false">
      <c r="A23" s="4" t="s">
        <v>198</v>
      </c>
      <c r="B23" s="5" t="s">
        <v>2018</v>
      </c>
      <c r="C23" s="5" t="s">
        <v>1942</v>
      </c>
      <c r="D23" s="5" t="s">
        <v>2019</v>
      </c>
      <c r="E23" s="22" t="s">
        <v>2020</v>
      </c>
      <c r="F23" s="5" t="s">
        <v>2021</v>
      </c>
      <c r="G23" s="13" t="s">
        <v>79</v>
      </c>
    </row>
    <row r="24" customFormat="false" ht="15" hidden="false" customHeight="false" outlineLevel="0" collapsed="false">
      <c r="A24" s="4" t="s">
        <v>415</v>
      </c>
      <c r="B24" s="5" t="s">
        <v>2022</v>
      </c>
      <c r="C24" s="5" t="s">
        <v>1942</v>
      </c>
      <c r="D24" s="5" t="s">
        <v>2023</v>
      </c>
      <c r="E24" s="22" t="s">
        <v>2024</v>
      </c>
      <c r="F24" s="5"/>
      <c r="G24" s="13" t="s">
        <v>79</v>
      </c>
    </row>
    <row r="25" customFormat="false" ht="15" hidden="false" customHeight="false" outlineLevel="0" collapsed="false">
      <c r="A25" s="4" t="s">
        <v>795</v>
      </c>
      <c r="B25" s="5" t="s">
        <v>2025</v>
      </c>
      <c r="C25" s="5" t="s">
        <v>1986</v>
      </c>
      <c r="D25" s="5" t="s">
        <v>2026</v>
      </c>
      <c r="E25" s="22" t="s">
        <v>2027</v>
      </c>
      <c r="F25" s="5"/>
      <c r="G25" s="13" t="s">
        <v>79</v>
      </c>
    </row>
    <row r="26" customFormat="false" ht="15" hidden="false" customHeight="false" outlineLevel="0" collapsed="false">
      <c r="A26" s="4" t="s">
        <v>805</v>
      </c>
      <c r="B26" s="5" t="s">
        <v>2028</v>
      </c>
      <c r="C26" s="5" t="s">
        <v>1986</v>
      </c>
      <c r="D26" s="5" t="s">
        <v>2029</v>
      </c>
      <c r="E26" s="22" t="s">
        <v>2030</v>
      </c>
      <c r="F26" s="5"/>
      <c r="G26" s="13" t="s">
        <v>79</v>
      </c>
    </row>
    <row r="27" customFormat="false" ht="15" hidden="false" customHeight="false" outlineLevel="0" collapsed="false">
      <c r="A27" s="4" t="s">
        <v>1926</v>
      </c>
      <c r="B27" s="5" t="s">
        <v>2031</v>
      </c>
      <c r="C27" s="5" t="s">
        <v>1996</v>
      </c>
      <c r="D27" s="5" t="s">
        <v>2032</v>
      </c>
      <c r="E27" s="22" t="s">
        <v>2033</v>
      </c>
      <c r="F27" s="5" t="s">
        <v>2034</v>
      </c>
      <c r="G27" s="13" t="s">
        <v>79</v>
      </c>
    </row>
    <row r="28" customFormat="false" ht="23.85" hidden="false" customHeight="false" outlineLevel="0" collapsed="false">
      <c r="A28" s="4" t="s">
        <v>786</v>
      </c>
      <c r="B28" s="5" t="s">
        <v>2035</v>
      </c>
      <c r="C28" s="5" t="s">
        <v>1942</v>
      </c>
      <c r="D28" s="5" t="s">
        <v>2036</v>
      </c>
      <c r="E28" s="22" t="s">
        <v>2037</v>
      </c>
      <c r="F28" s="5" t="s">
        <v>2038</v>
      </c>
      <c r="G28" s="13" t="s">
        <v>79</v>
      </c>
    </row>
    <row r="29" customFormat="false" ht="15" hidden="false" customHeight="false" outlineLevel="0" collapsed="false">
      <c r="A29" s="4" t="s">
        <v>187</v>
      </c>
      <c r="B29" s="5" t="s">
        <v>2039</v>
      </c>
      <c r="C29" s="5" t="s">
        <v>2040</v>
      </c>
      <c r="D29" s="5" t="s">
        <v>92</v>
      </c>
      <c r="E29" s="22" t="s">
        <v>2041</v>
      </c>
      <c r="F29" s="5" t="s">
        <v>2042</v>
      </c>
      <c r="G29" s="13" t="s">
        <v>79</v>
      </c>
    </row>
    <row r="30" customFormat="false" ht="15" hidden="false" customHeight="false" outlineLevel="0" collapsed="false">
      <c r="A30" s="4" t="s">
        <v>159</v>
      </c>
      <c r="B30" s="5" t="s">
        <v>151</v>
      </c>
      <c r="C30" s="5" t="s">
        <v>2040</v>
      </c>
      <c r="D30" s="5" t="s">
        <v>162</v>
      </c>
      <c r="E30" s="22" t="s">
        <v>2043</v>
      </c>
      <c r="F30" s="5"/>
      <c r="G30" s="13" t="s">
        <v>79</v>
      </c>
    </row>
    <row r="31" customFormat="false" ht="23.85" hidden="false" customHeight="false" outlineLevel="0" collapsed="false">
      <c r="A31" s="4" t="s">
        <v>2044</v>
      </c>
      <c r="B31" s="5" t="s">
        <v>161</v>
      </c>
      <c r="C31" s="5" t="s">
        <v>2040</v>
      </c>
      <c r="D31" s="5" t="s">
        <v>2045</v>
      </c>
      <c r="E31" s="22" t="s">
        <v>2046</v>
      </c>
      <c r="F31" s="5"/>
      <c r="G31" s="13" t="s">
        <v>79</v>
      </c>
    </row>
    <row r="32" customFormat="false" ht="15" hidden="false" customHeight="false" outlineLevel="0" collapsed="false">
      <c r="A32" s="4" t="s">
        <v>2047</v>
      </c>
      <c r="B32" s="5" t="s">
        <v>2048</v>
      </c>
      <c r="C32" s="5" t="s">
        <v>2040</v>
      </c>
      <c r="D32" s="5" t="s">
        <v>162</v>
      </c>
      <c r="E32" s="22" t="s">
        <v>2049</v>
      </c>
      <c r="F32" s="5"/>
      <c r="G32" s="13" t="s">
        <v>79</v>
      </c>
    </row>
    <row r="33" customFormat="false" ht="15" hidden="false" customHeight="false" outlineLevel="0" collapsed="false">
      <c r="A33" s="4" t="s">
        <v>177</v>
      </c>
      <c r="B33" s="5" t="s">
        <v>2050</v>
      </c>
      <c r="C33" s="5" t="s">
        <v>1990</v>
      </c>
      <c r="D33" s="5" t="s">
        <v>2051</v>
      </c>
      <c r="E33" s="22" t="s">
        <v>2052</v>
      </c>
      <c r="F33" s="5"/>
      <c r="G33" s="13" t="s">
        <v>79</v>
      </c>
    </row>
    <row r="34" customFormat="false" ht="15" hidden="false" customHeight="false" outlineLevel="0" collapsed="false">
      <c r="A34" s="4" t="s">
        <v>228</v>
      </c>
      <c r="B34" s="5" t="s">
        <v>2053</v>
      </c>
      <c r="C34" s="5" t="s">
        <v>2040</v>
      </c>
      <c r="D34" s="5" t="s">
        <v>2054</v>
      </c>
      <c r="E34" s="22" t="s">
        <v>2055</v>
      </c>
      <c r="F34" s="5"/>
      <c r="G34" s="13" t="s">
        <v>79</v>
      </c>
    </row>
    <row r="35" customFormat="false" ht="15" hidden="false" customHeight="false" outlineLevel="0" collapsed="false">
      <c r="A35" s="33" t="s">
        <v>1918</v>
      </c>
      <c r="B35" s="34" t="s">
        <v>2056</v>
      </c>
      <c r="C35" s="34" t="s">
        <v>1958</v>
      </c>
      <c r="D35" s="34" t="s">
        <v>2057</v>
      </c>
      <c r="E35" s="35" t="s">
        <v>2058</v>
      </c>
      <c r="F35" s="34" t="s">
        <v>2059</v>
      </c>
      <c r="G35" s="36" t="s">
        <v>79</v>
      </c>
    </row>
    <row r="36" customFormat="false" ht="23.85" hidden="false" customHeight="false" outlineLevel="0" collapsed="false">
      <c r="A36" s="33" t="s">
        <v>2060</v>
      </c>
      <c r="B36" s="34" t="s">
        <v>2061</v>
      </c>
      <c r="C36" s="34" t="s">
        <v>2062</v>
      </c>
      <c r="D36" s="34" t="s">
        <v>2063</v>
      </c>
      <c r="E36" s="34"/>
      <c r="F36" s="34" t="s">
        <v>2064</v>
      </c>
      <c r="G36" s="36" t="s">
        <v>79</v>
      </c>
    </row>
  </sheetData>
  <autoFilter ref="A4:G36"/>
  <hyperlinks>
    <hyperlink ref="E5" r:id="rId1" display="https://www.resmigazete.gov.tr/eskiler/2025/05/20250530-2.pdf"/>
    <hyperlink ref="E6" r:id="rId2" display="https://www.lexpera.com.tr/mevzuat/cumhurbaskani-kararlari/yatirimlarda-devlet-yardimlari-hakkinda-karar-9903"/>
    <hyperlink ref="E7" r:id="rId3" display="https://www.resmigazete.gov.tr/eskiler/2025/06/20250621-14.htm"/>
    <hyperlink ref="E8" r:id="rId4" display="https://tesvikakademi.com/haber/2026-yili-yatirim-tesvik-tutarlari-aciklandi/"/>
    <hyperlink ref="E9" r:id="rId5" display="https://www.resmigazete.gov.tr/eskiler/2026/01/20260131-13-1.pdf"/>
    <hyperlink ref="E10" r:id="rId6" display="https://www.resmigazete.gov.tr/eskiler/2024/07/20240726-19.htm"/>
    <hyperlink ref="E11" r:id="rId7" display="https://www.resmigazete.gov.tr/eskiler/2018/01/20180125-2.pdf"/>
    <hyperlink ref="E12" r:id="rId8" display="https://www.resmigazete.gov.tr/eskiler/2023/04/20230405-9.pdf"/>
    <hyperlink ref="E13" r:id="rId9" display="https://www.lexpera.com.tr/mevzuat/yonetmelikler/enerji-kaynaklarinin-ve-enerjinin-kullaniminda-verimliligin-artirilmasina-dair-yonetmelik-2011-28097-5"/>
    <hyperlink ref="E14" r:id="rId10" display="https://enerji.gov.tr/Media/Dizin/EVCED/tr/EnerjiVerimlili%C4%9Fi/Destekler/dokumanlar/VAP_Destekleri/Verimlilik_Artirici_Proje_(VAP)_Destek_Programi_Hakkinda_Uygulama_Usul_Esaslari.pdf"/>
    <hyperlink ref="E15" r:id="rId11" display="https://enerji.gov.tr/duyuru-detay?id=30609"/>
    <hyperlink ref="E16" r:id="rId12" display="https://www.aa.com.tr/tr/ekonomi/enerji-verimliligi-ve-karbon-azaltimina-yeni-hibe-destegi-geliyor/3979586"/>
    <hyperlink ref="E17" r:id="rId13" display="https://enerji.gov.tr/Media/Dizin/BHIM/tr/Duyurular//2026_Yili_VAP_Denetim_Bedelleri_202512311640.docx"/>
    <hyperlink ref="E18" r:id="rId14" display="https://enerji.gov.tr/duyuru-detay?id=30623"/>
    <hyperlink ref="E19" r:id="rId15" display="https://enerji.gov.tr/Media/Dizin/BHIM/tr/Duyurular//Enerji_ve_Karbon_Azaltim_(EKA)_Destek_Programi_hakkinda_Uygulama_Usul_ve_Esaslari_202606291644.pdf"/>
    <hyperlink ref="E20" r:id="rId16" display="https://enerji.gov.tr/Media/Dizin/HIGM/tr/Mevzuat/Enerji_Verimliligi/ENERJI_PERFORMANS_SOZLESMELERI_ILE_UYGULANACAK_PROJELERIN_DESTEKLENMESINE_ILISKIN_USUL_VE_ESASLAR.pdf"/>
    <hyperlink ref="E21" r:id="rId17" display="https://enerji.gov.tr/duyuru-detay?id=30601"/>
    <hyperlink ref="E22" r:id="rId18" display="https://www.lexpera.com.tr/mevzuat/yonetmelikler/elektrik-piyasasinda-lisanssiz-elektrik-uretim-yonetmeligi"/>
    <hyperlink ref="E23" r:id="rId19" display="https://www.resmigazete.gov.tr/eskiler/2023/05/20230501-7.pdf"/>
    <hyperlink ref="E24" r:id="rId20" display="https://www.resmigazete.gov.tr/eskiler/2026/06/20260613-3.pdf"/>
    <hyperlink ref="E25" r:id="rId21" display="https://enerji.gov.tr/duyuru-detay?id=30627"/>
    <hyperlink ref="E26" r:id="rId22" display="https://enerji.gov.tr/duyuru-detay?id=30626"/>
    <hyperlink ref="E27" r:id="rId23" display="https://www.aa.com.tr/tr/enerjiterminali/genel/bakan-bayraktar-2026-yeka-yarismalariyla-yenilenebilir-enerjide-yeni-bir-yatirim-donemine-kapi-araliyoruz/58274"/>
    <hyperlink ref="E28" r:id="rId24" display="https://www.resmigazete.gov.tr/eskiler/2021/05/20210509-3.htm"/>
    <hyperlink ref="E29" r:id="rId25" display="https://hit30.sanayi.gov.tr/cagrilar"/>
    <hyperlink ref="E30" r:id="rId26" display="https://www.kosgeb.gov.tr/site/tr/genel/destekdetay/9022/yesil-sanayi-destek-programi"/>
    <hyperlink ref="E31" r:id="rId27" display="https://www.kosgeb.gov.tr/site/tr/genel/destekdetay/8202/kobi-enerji-verimliligi-destek-programi"/>
    <hyperlink ref="E32" r:id="rId28" display="https://www.kosgeb.gov.tr/site/tr/genel/destekler/3/destekler"/>
    <hyperlink ref="E33" r:id="rId29" display="https://tubitak.gov.tr/tr/destekler/destek/sanayi/ulusal-destek-programlari/cagri-1832-sanayide-yesil-donusum-2026-2-cagrisi-basvuruya-acildi"/>
    <hyperlink ref="E34" r:id="rId30" display="https://ka.gov.tr/"/>
    <hyperlink ref="E35" r:id="rId31" display="https://www.aa.com.tr/tr/ekonomi/yerelde-kalkinma-destekleri-81-ilin-cevherlerini-ortaya-cikaracak/391035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54"/>
    <col collapsed="false" customWidth="true" hidden="false" outlineLevel="0" max="4" min="4" style="0" width="40"/>
    <col collapsed="false" customWidth="true" hidden="false" outlineLevel="0" max="5" min="5" style="0" width="2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2065</v>
      </c>
    </row>
    <row r="2" customFormat="false" ht="15" hidden="false" customHeight="false" outlineLevel="0" collapsed="false">
      <c r="A2" s="2" t="s">
        <v>2066</v>
      </c>
    </row>
    <row r="4" customFormat="false" ht="30" hidden="false" customHeight="true" outlineLevel="0" collapsed="false">
      <c r="A4" s="3" t="s">
        <v>55</v>
      </c>
      <c r="B4" s="3" t="s">
        <v>2067</v>
      </c>
      <c r="C4" s="3" t="s">
        <v>2068</v>
      </c>
      <c r="D4" s="3" t="s">
        <v>2069</v>
      </c>
      <c r="E4" s="3" t="s">
        <v>2070</v>
      </c>
      <c r="F4" s="3" t="s">
        <v>876</v>
      </c>
    </row>
    <row r="5" customFormat="false" ht="23.85" hidden="false" customHeight="false" outlineLevel="0" collapsed="false">
      <c r="A5" s="4" t="s">
        <v>2071</v>
      </c>
      <c r="B5" s="5" t="s">
        <v>2072</v>
      </c>
      <c r="C5" s="5" t="s">
        <v>2073</v>
      </c>
      <c r="D5" s="5" t="s">
        <v>2074</v>
      </c>
      <c r="E5" s="5" t="s">
        <v>2075</v>
      </c>
      <c r="F5" s="37" t="s">
        <v>72</v>
      </c>
    </row>
    <row r="6" customFormat="false" ht="23.85" hidden="false" customHeight="false" outlineLevel="0" collapsed="false">
      <c r="A6" s="4" t="s">
        <v>2076</v>
      </c>
      <c r="B6" s="5" t="s">
        <v>2077</v>
      </c>
      <c r="C6" s="5" t="s">
        <v>2078</v>
      </c>
      <c r="D6" s="5" t="s">
        <v>2079</v>
      </c>
      <c r="E6" s="5" t="s">
        <v>2075</v>
      </c>
      <c r="F6" s="37" t="s">
        <v>72</v>
      </c>
    </row>
    <row r="7" customFormat="false" ht="15" hidden="false" customHeight="false" outlineLevel="0" collapsed="false">
      <c r="A7" s="4" t="s">
        <v>2080</v>
      </c>
      <c r="B7" s="5" t="s">
        <v>2081</v>
      </c>
      <c r="C7" s="5" t="s">
        <v>2082</v>
      </c>
      <c r="D7" s="5" t="s">
        <v>2083</v>
      </c>
      <c r="E7" s="5" t="s">
        <v>2084</v>
      </c>
      <c r="F7" s="37" t="s">
        <v>72</v>
      </c>
    </row>
    <row r="8" customFormat="false" ht="15" hidden="false" customHeight="false" outlineLevel="0" collapsed="false">
      <c r="A8" s="4" t="s">
        <v>2085</v>
      </c>
      <c r="B8" s="5" t="s">
        <v>2086</v>
      </c>
      <c r="C8" s="5" t="s">
        <v>2087</v>
      </c>
      <c r="D8" s="5" t="s">
        <v>2088</v>
      </c>
      <c r="E8" s="5" t="s">
        <v>53</v>
      </c>
      <c r="F8" s="37" t="s">
        <v>72</v>
      </c>
    </row>
    <row r="9" customFormat="false" ht="15" hidden="false" customHeight="false" outlineLevel="0" collapsed="false">
      <c r="A9" s="4" t="s">
        <v>2089</v>
      </c>
      <c r="B9" s="5" t="s">
        <v>2090</v>
      </c>
      <c r="C9" s="5" t="s">
        <v>2091</v>
      </c>
      <c r="D9" s="5" t="s">
        <v>2092</v>
      </c>
      <c r="E9" s="5" t="s">
        <v>2093</v>
      </c>
      <c r="F9" s="37" t="s">
        <v>72</v>
      </c>
    </row>
    <row r="10" customFormat="false" ht="23.85" hidden="false" customHeight="false" outlineLevel="0" collapsed="false">
      <c r="A10" s="4" t="s">
        <v>2094</v>
      </c>
      <c r="B10" s="5" t="s">
        <v>2095</v>
      </c>
      <c r="C10" s="5" t="s">
        <v>2096</v>
      </c>
      <c r="D10" s="5" t="s">
        <v>2097</v>
      </c>
      <c r="E10" s="5" t="s">
        <v>2098</v>
      </c>
      <c r="F10" s="37" t="s">
        <v>72</v>
      </c>
    </row>
    <row r="11" customFormat="false" ht="15" hidden="false" customHeight="false" outlineLevel="0" collapsed="false">
      <c r="A11" s="4" t="s">
        <v>2099</v>
      </c>
      <c r="B11" s="5" t="s">
        <v>2100</v>
      </c>
      <c r="C11" s="5" t="s">
        <v>2101</v>
      </c>
      <c r="D11" s="5" t="s">
        <v>2102</v>
      </c>
      <c r="E11" s="5" t="s">
        <v>51</v>
      </c>
      <c r="F11" s="37" t="s">
        <v>72</v>
      </c>
    </row>
    <row r="12" customFormat="false" ht="15" hidden="false" customHeight="false" outlineLevel="0" collapsed="false">
      <c r="A12" s="4" t="s">
        <v>2103</v>
      </c>
      <c r="B12" s="5" t="s">
        <v>2104</v>
      </c>
      <c r="C12" s="5" t="s">
        <v>2105</v>
      </c>
      <c r="D12" s="5" t="s">
        <v>2106</v>
      </c>
      <c r="E12" s="5" t="s">
        <v>2107</v>
      </c>
      <c r="F12" s="37" t="s">
        <v>72</v>
      </c>
    </row>
    <row r="13" customFormat="false" ht="23.85" hidden="false" customHeight="false" outlineLevel="0" collapsed="false">
      <c r="A13" s="4" t="s">
        <v>2108</v>
      </c>
      <c r="B13" s="5" t="s">
        <v>2109</v>
      </c>
      <c r="C13" s="5" t="s">
        <v>2110</v>
      </c>
      <c r="D13" s="5" t="s">
        <v>2111</v>
      </c>
      <c r="E13" s="5" t="s">
        <v>2107</v>
      </c>
      <c r="F13" s="37" t="s">
        <v>72</v>
      </c>
    </row>
    <row r="14" customFormat="false" ht="15" hidden="false" customHeight="false" outlineLevel="0" collapsed="false">
      <c r="A14" s="4" t="s">
        <v>2112</v>
      </c>
      <c r="B14" s="5" t="s">
        <v>2113</v>
      </c>
      <c r="C14" s="5" t="s">
        <v>2114</v>
      </c>
      <c r="D14" s="5" t="s">
        <v>2115</v>
      </c>
      <c r="E14" s="5" t="s">
        <v>2116</v>
      </c>
      <c r="F14" s="37" t="s">
        <v>72</v>
      </c>
    </row>
    <row r="15" customFormat="false" ht="15" hidden="false" customHeight="false" outlineLevel="0" collapsed="false">
      <c r="A15" s="4" t="s">
        <v>2117</v>
      </c>
      <c r="B15" s="5" t="s">
        <v>2118</v>
      </c>
      <c r="C15" s="5" t="s">
        <v>2119</v>
      </c>
      <c r="D15" s="5" t="s">
        <v>2120</v>
      </c>
      <c r="E15" s="5" t="s">
        <v>2116</v>
      </c>
      <c r="F15" s="37" t="s">
        <v>72</v>
      </c>
    </row>
    <row r="16" customFormat="false" ht="15" hidden="false" customHeight="false" outlineLevel="0" collapsed="false">
      <c r="A16" s="4" t="s">
        <v>2121</v>
      </c>
      <c r="B16" s="5" t="s">
        <v>2122</v>
      </c>
      <c r="C16" s="5" t="s">
        <v>2123</v>
      </c>
      <c r="D16" s="5" t="s">
        <v>2124</v>
      </c>
      <c r="E16" s="5" t="s">
        <v>164</v>
      </c>
      <c r="F16" s="37" t="s">
        <v>72</v>
      </c>
    </row>
  </sheetData>
  <autoFilter ref="A4:F16"/>
  <dataValidations count="1">
    <dataValidation allowBlank="true" errorStyle="stop" operator="between" showDropDown="false" showErrorMessage="false" showInputMessage="false" sqref="F5:F16" type="list">
      <formula1>"Açık,Teyit edildi,Düzeltildi"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2026-09-26T17:18:28Z</dcterms:created>
  <dc:creator>openpyxl</dc:creator>
  <dc:description/>
  <dc:language>en-US</dc:language>
  <cp:lastModifiedBy/>
  <dcterms:modified xsi:type="dcterms:W3CDTF">2026-09-26T17:18:29Z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